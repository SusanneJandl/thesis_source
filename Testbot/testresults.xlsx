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an\Documents\repos\ThesisSource\Testbot\"/>
    </mc:Choice>
  </mc:AlternateContent>
  <xr:revisionPtr revIDLastSave="0" documentId="13_ncr:1_{58A0B735-913B-4797-A28F-8F0C72009DA7}" xr6:coauthVersionLast="47" xr6:coauthVersionMax="47" xr10:uidLastSave="{00000000-0000-0000-0000-000000000000}"/>
  <bookViews>
    <workbookView xWindow="-105" yWindow="0" windowWidth="10410" windowHeight="10905" activeTab="4" xr2:uid="{15F1E76E-1622-4625-89E7-0EE84C9679FA}"/>
  </bookViews>
  <sheets>
    <sheet name="thinkpad" sheetId="1" r:id="rId1"/>
    <sheet name="mac" sheetId="2" r:id="rId2"/>
    <sheet name="dell" sheetId="3" r:id="rId3"/>
    <sheet name="ATMS" sheetId="4" r:id="rId4"/>
    <sheet name="model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  <c r="G73" i="5"/>
  <c r="F73" i="5"/>
  <c r="G72" i="5"/>
  <c r="F72" i="5"/>
  <c r="G71" i="5"/>
  <c r="F71" i="5"/>
  <c r="G67" i="5"/>
  <c r="F67" i="5"/>
  <c r="G66" i="5"/>
  <c r="F66" i="5"/>
  <c r="G65" i="5"/>
  <c r="F65" i="5"/>
  <c r="G61" i="5"/>
  <c r="F61" i="5"/>
  <c r="E61" i="5"/>
  <c r="G60" i="5"/>
  <c r="F60" i="5"/>
  <c r="E60" i="5"/>
  <c r="G59" i="5"/>
  <c r="F59" i="5"/>
  <c r="E59" i="5"/>
  <c r="G55" i="5"/>
  <c r="F55" i="5"/>
  <c r="E55" i="5"/>
  <c r="G54" i="5"/>
  <c r="F54" i="5"/>
  <c r="E54" i="5"/>
  <c r="G53" i="5"/>
  <c r="F53" i="5"/>
  <c r="E53" i="5"/>
  <c r="G49" i="5"/>
  <c r="F49" i="5"/>
  <c r="G48" i="5"/>
  <c r="F48" i="5"/>
  <c r="G47" i="5"/>
  <c r="F47" i="5"/>
  <c r="G43" i="5"/>
  <c r="F43" i="5"/>
  <c r="G42" i="5"/>
  <c r="F42" i="5"/>
  <c r="G41" i="5"/>
  <c r="F41" i="5"/>
  <c r="G37" i="5"/>
  <c r="F37" i="5"/>
  <c r="E37" i="5"/>
  <c r="G36" i="5"/>
  <c r="F36" i="5"/>
  <c r="E36" i="5"/>
  <c r="G35" i="5"/>
  <c r="F35" i="5"/>
  <c r="E35" i="5"/>
  <c r="G31" i="5"/>
  <c r="F31" i="5"/>
  <c r="E31" i="5"/>
  <c r="G30" i="5"/>
  <c r="F30" i="5"/>
  <c r="E30" i="5"/>
  <c r="G29" i="5"/>
  <c r="F29" i="5"/>
  <c r="E29" i="5"/>
  <c r="F23" i="5"/>
  <c r="G23" i="5"/>
  <c r="F24" i="5"/>
  <c r="G24" i="5"/>
  <c r="F25" i="5"/>
  <c r="G25" i="5"/>
  <c r="F17" i="5"/>
  <c r="G17" i="5"/>
  <c r="F18" i="5"/>
  <c r="G18" i="5"/>
  <c r="F19" i="5"/>
  <c r="G19" i="5"/>
  <c r="F11" i="5"/>
  <c r="G11" i="5"/>
  <c r="F12" i="5"/>
  <c r="G12" i="5"/>
  <c r="F13" i="5"/>
  <c r="G13" i="5"/>
  <c r="E12" i="5"/>
  <c r="E13" i="5"/>
  <c r="F5" i="5"/>
  <c r="G5" i="5"/>
  <c r="F6" i="5"/>
  <c r="G6" i="5"/>
  <c r="F7" i="5"/>
  <c r="G7" i="5"/>
  <c r="E11" i="5"/>
  <c r="E7" i="5"/>
  <c r="E6" i="5"/>
  <c r="E5" i="5"/>
  <c r="K97" i="4"/>
  <c r="J97" i="4"/>
  <c r="H97" i="4"/>
  <c r="G97" i="4"/>
  <c r="F97" i="4"/>
  <c r="E97" i="4"/>
  <c r="K96" i="4"/>
  <c r="J96" i="4"/>
  <c r="H96" i="4"/>
  <c r="G96" i="4"/>
  <c r="F96" i="4"/>
  <c r="E96" i="4"/>
  <c r="K95" i="4"/>
  <c r="J95" i="4"/>
  <c r="H95" i="4"/>
  <c r="G95" i="4"/>
  <c r="F95" i="4"/>
  <c r="E95" i="4"/>
  <c r="I94" i="4"/>
  <c r="I93" i="4"/>
  <c r="I97" i="4" s="1"/>
  <c r="I92" i="4"/>
  <c r="I96" i="4" s="1"/>
  <c r="K91" i="4"/>
  <c r="J91" i="4"/>
  <c r="H91" i="4"/>
  <c r="G91" i="4"/>
  <c r="F91" i="4"/>
  <c r="E91" i="4"/>
  <c r="K90" i="4"/>
  <c r="J90" i="4"/>
  <c r="H90" i="4"/>
  <c r="G90" i="4"/>
  <c r="F90" i="4"/>
  <c r="E90" i="4"/>
  <c r="K89" i="4"/>
  <c r="J89" i="4"/>
  <c r="H89" i="4"/>
  <c r="G89" i="4"/>
  <c r="F89" i="4"/>
  <c r="E89" i="4"/>
  <c r="I88" i="4"/>
  <c r="I87" i="4"/>
  <c r="I91" i="4" s="1"/>
  <c r="I86" i="4"/>
  <c r="I90" i="4" s="1"/>
  <c r="K85" i="4"/>
  <c r="J85" i="4"/>
  <c r="H85" i="4"/>
  <c r="G85" i="4"/>
  <c r="F85" i="4"/>
  <c r="E85" i="4"/>
  <c r="K84" i="4"/>
  <c r="J84" i="4"/>
  <c r="H84" i="4"/>
  <c r="G84" i="4"/>
  <c r="F84" i="4"/>
  <c r="E84" i="4"/>
  <c r="K83" i="4"/>
  <c r="J83" i="4"/>
  <c r="H83" i="4"/>
  <c r="G83" i="4"/>
  <c r="F83" i="4"/>
  <c r="E83" i="4"/>
  <c r="I82" i="4"/>
  <c r="I81" i="4"/>
  <c r="I85" i="4" s="1"/>
  <c r="I80" i="4"/>
  <c r="I84" i="4" s="1"/>
  <c r="K79" i="4"/>
  <c r="J79" i="4"/>
  <c r="H79" i="4"/>
  <c r="G79" i="4"/>
  <c r="F79" i="4"/>
  <c r="E79" i="4"/>
  <c r="K78" i="4"/>
  <c r="J78" i="4"/>
  <c r="H78" i="4"/>
  <c r="G78" i="4"/>
  <c r="F78" i="4"/>
  <c r="E78" i="4"/>
  <c r="K77" i="4"/>
  <c r="J77" i="4"/>
  <c r="H77" i="4"/>
  <c r="G77" i="4"/>
  <c r="F77" i="4"/>
  <c r="E77" i="4"/>
  <c r="I76" i="4"/>
  <c r="I75" i="4"/>
  <c r="I79" i="4" s="1"/>
  <c r="I74" i="4"/>
  <c r="I78" i="4" s="1"/>
  <c r="K73" i="4"/>
  <c r="J73" i="4"/>
  <c r="H73" i="4"/>
  <c r="G73" i="4"/>
  <c r="F73" i="4"/>
  <c r="E73" i="4"/>
  <c r="K72" i="4"/>
  <c r="J72" i="4"/>
  <c r="H72" i="4"/>
  <c r="G72" i="4"/>
  <c r="F72" i="4"/>
  <c r="E72" i="4"/>
  <c r="K71" i="4"/>
  <c r="J71" i="4"/>
  <c r="H71" i="4"/>
  <c r="G71" i="4"/>
  <c r="F71" i="4"/>
  <c r="E71" i="4"/>
  <c r="I70" i="4"/>
  <c r="I69" i="4"/>
  <c r="I73" i="4" s="1"/>
  <c r="I68" i="4"/>
  <c r="I72" i="4" s="1"/>
  <c r="K67" i="4"/>
  <c r="J67" i="4"/>
  <c r="H67" i="4"/>
  <c r="G67" i="4"/>
  <c r="F67" i="4"/>
  <c r="E67" i="4"/>
  <c r="K66" i="4"/>
  <c r="J66" i="4"/>
  <c r="H66" i="4"/>
  <c r="G66" i="4"/>
  <c r="F66" i="4"/>
  <c r="E66" i="4"/>
  <c r="K65" i="4"/>
  <c r="J65" i="4"/>
  <c r="H65" i="4"/>
  <c r="G65" i="4"/>
  <c r="F65" i="4"/>
  <c r="E65" i="4"/>
  <c r="I64" i="4"/>
  <c r="I63" i="4"/>
  <c r="I67" i="4" s="1"/>
  <c r="I62" i="4"/>
  <c r="I66" i="4" s="1"/>
  <c r="K61" i="4"/>
  <c r="J61" i="4"/>
  <c r="H61" i="4"/>
  <c r="G61" i="4"/>
  <c r="F61" i="4"/>
  <c r="E61" i="4"/>
  <c r="K60" i="4"/>
  <c r="J60" i="4"/>
  <c r="H60" i="4"/>
  <c r="G60" i="4"/>
  <c r="F60" i="4"/>
  <c r="E60" i="4"/>
  <c r="K59" i="4"/>
  <c r="J59" i="4"/>
  <c r="H59" i="4"/>
  <c r="G59" i="4"/>
  <c r="F59" i="4"/>
  <c r="E59" i="4"/>
  <c r="I58" i="4"/>
  <c r="I57" i="4"/>
  <c r="I61" i="4" s="1"/>
  <c r="I56" i="4"/>
  <c r="I60" i="4" s="1"/>
  <c r="K55" i="4"/>
  <c r="J55" i="4"/>
  <c r="H55" i="4"/>
  <c r="G55" i="4"/>
  <c r="F55" i="4"/>
  <c r="E55" i="4"/>
  <c r="K54" i="4"/>
  <c r="J54" i="4"/>
  <c r="H54" i="4"/>
  <c r="G54" i="4"/>
  <c r="F54" i="4"/>
  <c r="E54" i="4"/>
  <c r="K53" i="4"/>
  <c r="J53" i="4"/>
  <c r="H53" i="4"/>
  <c r="G53" i="4"/>
  <c r="F53" i="4"/>
  <c r="E53" i="4"/>
  <c r="I52" i="4"/>
  <c r="I51" i="4"/>
  <c r="I55" i="4" s="1"/>
  <c r="I50" i="4"/>
  <c r="I54" i="4" s="1"/>
  <c r="K49" i="4"/>
  <c r="J49" i="4"/>
  <c r="H49" i="4"/>
  <c r="G49" i="4"/>
  <c r="F49" i="4"/>
  <c r="E49" i="4"/>
  <c r="K48" i="4"/>
  <c r="J48" i="4"/>
  <c r="H48" i="4"/>
  <c r="G48" i="4"/>
  <c r="F48" i="4"/>
  <c r="E48" i="4"/>
  <c r="K47" i="4"/>
  <c r="J47" i="4"/>
  <c r="H47" i="4"/>
  <c r="G47" i="4"/>
  <c r="F47" i="4"/>
  <c r="E47" i="4"/>
  <c r="I46" i="4"/>
  <c r="I45" i="4"/>
  <c r="I49" i="4" s="1"/>
  <c r="I44" i="4"/>
  <c r="I48" i="4" s="1"/>
  <c r="K43" i="4"/>
  <c r="J43" i="4"/>
  <c r="H43" i="4"/>
  <c r="G43" i="4"/>
  <c r="F43" i="4"/>
  <c r="E43" i="4"/>
  <c r="K42" i="4"/>
  <c r="J42" i="4"/>
  <c r="H42" i="4"/>
  <c r="G42" i="4"/>
  <c r="F42" i="4"/>
  <c r="E42" i="4"/>
  <c r="K41" i="4"/>
  <c r="J41" i="4"/>
  <c r="H41" i="4"/>
  <c r="G41" i="4"/>
  <c r="F41" i="4"/>
  <c r="E41" i="4"/>
  <c r="I40" i="4"/>
  <c r="I39" i="4"/>
  <c r="I43" i="4" s="1"/>
  <c r="I38" i="4"/>
  <c r="I42" i="4" s="1"/>
  <c r="K37" i="4"/>
  <c r="J37" i="4"/>
  <c r="H37" i="4"/>
  <c r="G37" i="4"/>
  <c r="F37" i="4"/>
  <c r="E37" i="4"/>
  <c r="K36" i="4"/>
  <c r="J36" i="4"/>
  <c r="H36" i="4"/>
  <c r="G36" i="4"/>
  <c r="F36" i="4"/>
  <c r="E36" i="4"/>
  <c r="K35" i="4"/>
  <c r="J35" i="4"/>
  <c r="H35" i="4"/>
  <c r="G35" i="4"/>
  <c r="F35" i="4"/>
  <c r="E35" i="4"/>
  <c r="I34" i="4"/>
  <c r="I33" i="4"/>
  <c r="I37" i="4" s="1"/>
  <c r="I32" i="4"/>
  <c r="I36" i="4" s="1"/>
  <c r="K31" i="4"/>
  <c r="J31" i="4"/>
  <c r="H31" i="4"/>
  <c r="G31" i="4"/>
  <c r="F31" i="4"/>
  <c r="E31" i="4"/>
  <c r="K30" i="4"/>
  <c r="J30" i="4"/>
  <c r="H30" i="4"/>
  <c r="G30" i="4"/>
  <c r="F30" i="4"/>
  <c r="E30" i="4"/>
  <c r="K29" i="4"/>
  <c r="J29" i="4"/>
  <c r="H29" i="4"/>
  <c r="G29" i="4"/>
  <c r="F29" i="4"/>
  <c r="E29" i="4"/>
  <c r="I28" i="4"/>
  <c r="I27" i="4"/>
  <c r="I31" i="4" s="1"/>
  <c r="I26" i="4"/>
  <c r="I30" i="4" s="1"/>
  <c r="K25" i="4"/>
  <c r="J25" i="4"/>
  <c r="H25" i="4"/>
  <c r="G25" i="4"/>
  <c r="F25" i="4"/>
  <c r="E25" i="4"/>
  <c r="K24" i="4"/>
  <c r="J24" i="4"/>
  <c r="H24" i="4"/>
  <c r="G24" i="4"/>
  <c r="F24" i="4"/>
  <c r="E24" i="4"/>
  <c r="K23" i="4"/>
  <c r="J23" i="4"/>
  <c r="H23" i="4"/>
  <c r="G23" i="4"/>
  <c r="F23" i="4"/>
  <c r="E23" i="4"/>
  <c r="I22" i="4"/>
  <c r="I21" i="4"/>
  <c r="I25" i="4" s="1"/>
  <c r="I20" i="4"/>
  <c r="I24" i="4" s="1"/>
  <c r="K19" i="4"/>
  <c r="J19" i="4"/>
  <c r="H19" i="4"/>
  <c r="G19" i="4"/>
  <c r="F19" i="4"/>
  <c r="E19" i="4"/>
  <c r="K18" i="4"/>
  <c r="J18" i="4"/>
  <c r="H18" i="4"/>
  <c r="G18" i="4"/>
  <c r="F18" i="4"/>
  <c r="E18" i="4"/>
  <c r="K17" i="4"/>
  <c r="J17" i="4"/>
  <c r="H17" i="4"/>
  <c r="G17" i="4"/>
  <c r="F17" i="4"/>
  <c r="E17" i="4"/>
  <c r="I16" i="4"/>
  <c r="I15" i="4"/>
  <c r="I19" i="4" s="1"/>
  <c r="I14" i="4"/>
  <c r="I18" i="4" s="1"/>
  <c r="K13" i="4"/>
  <c r="J13" i="4"/>
  <c r="H13" i="4"/>
  <c r="G13" i="4"/>
  <c r="F13" i="4"/>
  <c r="E13" i="4"/>
  <c r="K12" i="4"/>
  <c r="J12" i="4"/>
  <c r="H12" i="4"/>
  <c r="G12" i="4"/>
  <c r="F12" i="4"/>
  <c r="E12" i="4"/>
  <c r="K11" i="4"/>
  <c r="J11" i="4"/>
  <c r="H11" i="4"/>
  <c r="G11" i="4"/>
  <c r="F11" i="4"/>
  <c r="E11" i="4"/>
  <c r="I10" i="4"/>
  <c r="I9" i="4"/>
  <c r="I13" i="4" s="1"/>
  <c r="I8" i="4"/>
  <c r="I12" i="4" s="1"/>
  <c r="K7" i="4"/>
  <c r="J7" i="4"/>
  <c r="H7" i="4"/>
  <c r="G7" i="4"/>
  <c r="F7" i="4"/>
  <c r="E7" i="4"/>
  <c r="K6" i="4"/>
  <c r="J6" i="4"/>
  <c r="H6" i="4"/>
  <c r="G6" i="4"/>
  <c r="F6" i="4"/>
  <c r="E6" i="4"/>
  <c r="K5" i="4"/>
  <c r="J5" i="4"/>
  <c r="H5" i="4"/>
  <c r="G5" i="4"/>
  <c r="F5" i="4"/>
  <c r="E5" i="4"/>
  <c r="I4" i="4"/>
  <c r="I3" i="4"/>
  <c r="I7" i="4" s="1"/>
  <c r="I2" i="4"/>
  <c r="I6" i="4" s="1"/>
  <c r="K97" i="3"/>
  <c r="J97" i="3"/>
  <c r="H97" i="3"/>
  <c r="G97" i="3"/>
  <c r="F97" i="3"/>
  <c r="E97" i="3"/>
  <c r="K96" i="3"/>
  <c r="J96" i="3"/>
  <c r="H96" i="3"/>
  <c r="G96" i="3"/>
  <c r="F96" i="3"/>
  <c r="E96" i="3"/>
  <c r="K95" i="3"/>
  <c r="J95" i="3"/>
  <c r="H95" i="3"/>
  <c r="G95" i="3"/>
  <c r="F95" i="3"/>
  <c r="E95" i="3"/>
  <c r="I94" i="3"/>
  <c r="I96" i="3" s="1"/>
  <c r="I93" i="3"/>
  <c r="I92" i="3"/>
  <c r="I97" i="3" s="1"/>
  <c r="K91" i="3"/>
  <c r="J91" i="3"/>
  <c r="H91" i="3"/>
  <c r="G91" i="3"/>
  <c r="F91" i="3"/>
  <c r="E91" i="3"/>
  <c r="K90" i="3"/>
  <c r="J90" i="3"/>
  <c r="H90" i="3"/>
  <c r="G90" i="3"/>
  <c r="F90" i="3"/>
  <c r="E90" i="3"/>
  <c r="K89" i="3"/>
  <c r="J89" i="3"/>
  <c r="H89" i="3"/>
  <c r="G89" i="3"/>
  <c r="F89" i="3"/>
  <c r="E89" i="3"/>
  <c r="I88" i="3"/>
  <c r="I90" i="3" s="1"/>
  <c r="I87" i="3"/>
  <c r="I86" i="3"/>
  <c r="I91" i="3" s="1"/>
  <c r="K85" i="3"/>
  <c r="J85" i="3"/>
  <c r="H85" i="3"/>
  <c r="G85" i="3"/>
  <c r="F85" i="3"/>
  <c r="E85" i="3"/>
  <c r="K84" i="3"/>
  <c r="J84" i="3"/>
  <c r="H84" i="3"/>
  <c r="G84" i="3"/>
  <c r="F84" i="3"/>
  <c r="E84" i="3"/>
  <c r="K83" i="3"/>
  <c r="J83" i="3"/>
  <c r="H83" i="3"/>
  <c r="G83" i="3"/>
  <c r="F83" i="3"/>
  <c r="E83" i="3"/>
  <c r="I82" i="3"/>
  <c r="I84" i="3" s="1"/>
  <c r="I81" i="3"/>
  <c r="I80" i="3"/>
  <c r="I85" i="3" s="1"/>
  <c r="K79" i="3"/>
  <c r="J79" i="3"/>
  <c r="H79" i="3"/>
  <c r="G79" i="3"/>
  <c r="F79" i="3"/>
  <c r="E79" i="3"/>
  <c r="K78" i="3"/>
  <c r="J78" i="3"/>
  <c r="H78" i="3"/>
  <c r="G78" i="3"/>
  <c r="F78" i="3"/>
  <c r="E78" i="3"/>
  <c r="K77" i="3"/>
  <c r="J77" i="3"/>
  <c r="H77" i="3"/>
  <c r="G77" i="3"/>
  <c r="F77" i="3"/>
  <c r="E77" i="3"/>
  <c r="I76" i="3"/>
  <c r="I78" i="3" s="1"/>
  <c r="I75" i="3"/>
  <c r="I74" i="3"/>
  <c r="I79" i="3" s="1"/>
  <c r="K73" i="3"/>
  <c r="J73" i="3"/>
  <c r="H73" i="3"/>
  <c r="G73" i="3"/>
  <c r="F73" i="3"/>
  <c r="E73" i="3"/>
  <c r="K72" i="3"/>
  <c r="J72" i="3"/>
  <c r="H72" i="3"/>
  <c r="G72" i="3"/>
  <c r="F72" i="3"/>
  <c r="E72" i="3"/>
  <c r="K71" i="3"/>
  <c r="J71" i="3"/>
  <c r="H71" i="3"/>
  <c r="G71" i="3"/>
  <c r="F71" i="3"/>
  <c r="E71" i="3"/>
  <c r="I70" i="3"/>
  <c r="I72" i="3" s="1"/>
  <c r="I69" i="3"/>
  <c r="I68" i="3"/>
  <c r="I73" i="3" s="1"/>
  <c r="K67" i="3"/>
  <c r="J67" i="3"/>
  <c r="H67" i="3"/>
  <c r="G67" i="3"/>
  <c r="F67" i="3"/>
  <c r="E67" i="3"/>
  <c r="K66" i="3"/>
  <c r="J66" i="3"/>
  <c r="H66" i="3"/>
  <c r="G66" i="3"/>
  <c r="F66" i="3"/>
  <c r="E66" i="3"/>
  <c r="K65" i="3"/>
  <c r="J65" i="3"/>
  <c r="H65" i="3"/>
  <c r="G65" i="3"/>
  <c r="F65" i="3"/>
  <c r="E65" i="3"/>
  <c r="I64" i="3"/>
  <c r="I66" i="3" s="1"/>
  <c r="I63" i="3"/>
  <c r="I62" i="3"/>
  <c r="I67" i="3" s="1"/>
  <c r="K61" i="3"/>
  <c r="J61" i="3"/>
  <c r="H61" i="3"/>
  <c r="G61" i="3"/>
  <c r="F61" i="3"/>
  <c r="E61" i="3"/>
  <c r="K60" i="3"/>
  <c r="J60" i="3"/>
  <c r="H60" i="3"/>
  <c r="G60" i="3"/>
  <c r="F60" i="3"/>
  <c r="E60" i="3"/>
  <c r="K59" i="3"/>
  <c r="J59" i="3"/>
  <c r="H59" i="3"/>
  <c r="G59" i="3"/>
  <c r="F59" i="3"/>
  <c r="E59" i="3"/>
  <c r="I58" i="3"/>
  <c r="I60" i="3" s="1"/>
  <c r="I57" i="3"/>
  <c r="I56" i="3"/>
  <c r="I61" i="3" s="1"/>
  <c r="K55" i="3"/>
  <c r="J55" i="3"/>
  <c r="H55" i="3"/>
  <c r="G55" i="3"/>
  <c r="F55" i="3"/>
  <c r="E55" i="3"/>
  <c r="K54" i="3"/>
  <c r="J54" i="3"/>
  <c r="H54" i="3"/>
  <c r="G54" i="3"/>
  <c r="F54" i="3"/>
  <c r="E54" i="3"/>
  <c r="K53" i="3"/>
  <c r="J53" i="3"/>
  <c r="H53" i="3"/>
  <c r="G53" i="3"/>
  <c r="F53" i="3"/>
  <c r="E53" i="3"/>
  <c r="I52" i="3"/>
  <c r="I54" i="3" s="1"/>
  <c r="I51" i="3"/>
  <c r="I50" i="3"/>
  <c r="I55" i="3" s="1"/>
  <c r="K49" i="3"/>
  <c r="J49" i="3"/>
  <c r="H49" i="3"/>
  <c r="G49" i="3"/>
  <c r="F49" i="3"/>
  <c r="E49" i="3"/>
  <c r="K48" i="3"/>
  <c r="J48" i="3"/>
  <c r="H48" i="3"/>
  <c r="G48" i="3"/>
  <c r="F48" i="3"/>
  <c r="E48" i="3"/>
  <c r="K47" i="3"/>
  <c r="J47" i="3"/>
  <c r="H47" i="3"/>
  <c r="G47" i="3"/>
  <c r="F47" i="3"/>
  <c r="E47" i="3"/>
  <c r="I46" i="3"/>
  <c r="I48" i="3" s="1"/>
  <c r="I45" i="3"/>
  <c r="I44" i="3"/>
  <c r="I49" i="3" s="1"/>
  <c r="K43" i="3"/>
  <c r="J43" i="3"/>
  <c r="H43" i="3"/>
  <c r="G43" i="3"/>
  <c r="F43" i="3"/>
  <c r="E43" i="3"/>
  <c r="K42" i="3"/>
  <c r="J42" i="3"/>
  <c r="H42" i="3"/>
  <c r="G42" i="3"/>
  <c r="F42" i="3"/>
  <c r="E42" i="3"/>
  <c r="K41" i="3"/>
  <c r="J41" i="3"/>
  <c r="H41" i="3"/>
  <c r="G41" i="3"/>
  <c r="F41" i="3"/>
  <c r="E41" i="3"/>
  <c r="I40" i="3"/>
  <c r="I42" i="3" s="1"/>
  <c r="I39" i="3"/>
  <c r="I38" i="3"/>
  <c r="I43" i="3" s="1"/>
  <c r="K37" i="3"/>
  <c r="J37" i="3"/>
  <c r="H37" i="3"/>
  <c r="G37" i="3"/>
  <c r="F37" i="3"/>
  <c r="E37" i="3"/>
  <c r="K36" i="3"/>
  <c r="J36" i="3"/>
  <c r="H36" i="3"/>
  <c r="G36" i="3"/>
  <c r="F36" i="3"/>
  <c r="E36" i="3"/>
  <c r="K35" i="3"/>
  <c r="J35" i="3"/>
  <c r="H35" i="3"/>
  <c r="G35" i="3"/>
  <c r="F35" i="3"/>
  <c r="E35" i="3"/>
  <c r="I34" i="3"/>
  <c r="I36" i="3" s="1"/>
  <c r="I33" i="3"/>
  <c r="I32" i="3"/>
  <c r="I37" i="3" s="1"/>
  <c r="K31" i="3"/>
  <c r="J31" i="3"/>
  <c r="H31" i="3"/>
  <c r="G31" i="3"/>
  <c r="F31" i="3"/>
  <c r="E31" i="3"/>
  <c r="K30" i="3"/>
  <c r="J30" i="3"/>
  <c r="H30" i="3"/>
  <c r="G30" i="3"/>
  <c r="F30" i="3"/>
  <c r="E30" i="3"/>
  <c r="K29" i="3"/>
  <c r="J29" i="3"/>
  <c r="H29" i="3"/>
  <c r="G29" i="3"/>
  <c r="F29" i="3"/>
  <c r="E29" i="3"/>
  <c r="I28" i="3"/>
  <c r="I30" i="3" s="1"/>
  <c r="I27" i="3"/>
  <c r="I26" i="3"/>
  <c r="I31" i="3" s="1"/>
  <c r="K25" i="3"/>
  <c r="J25" i="3"/>
  <c r="H25" i="3"/>
  <c r="G25" i="3"/>
  <c r="F25" i="3"/>
  <c r="E25" i="3"/>
  <c r="K24" i="3"/>
  <c r="J24" i="3"/>
  <c r="H24" i="3"/>
  <c r="G24" i="3"/>
  <c r="F24" i="3"/>
  <c r="E24" i="3"/>
  <c r="K23" i="3"/>
  <c r="J23" i="3"/>
  <c r="H23" i="3"/>
  <c r="G23" i="3"/>
  <c r="F23" i="3"/>
  <c r="E23" i="3"/>
  <c r="I22" i="3"/>
  <c r="I24" i="3" s="1"/>
  <c r="I21" i="3"/>
  <c r="I20" i="3"/>
  <c r="I25" i="3" s="1"/>
  <c r="K19" i="3"/>
  <c r="J19" i="3"/>
  <c r="H19" i="3"/>
  <c r="G19" i="3"/>
  <c r="F19" i="3"/>
  <c r="E19" i="3"/>
  <c r="K18" i="3"/>
  <c r="J18" i="3"/>
  <c r="H18" i="3"/>
  <c r="G18" i="3"/>
  <c r="F18" i="3"/>
  <c r="E18" i="3"/>
  <c r="K17" i="3"/>
  <c r="J17" i="3"/>
  <c r="H17" i="3"/>
  <c r="G17" i="3"/>
  <c r="F17" i="3"/>
  <c r="E17" i="3"/>
  <c r="I16" i="3"/>
  <c r="I18" i="3" s="1"/>
  <c r="I15" i="3"/>
  <c r="I14" i="3"/>
  <c r="I19" i="3" s="1"/>
  <c r="K13" i="3"/>
  <c r="J13" i="3"/>
  <c r="H13" i="3"/>
  <c r="G13" i="3"/>
  <c r="F13" i="3"/>
  <c r="E13" i="3"/>
  <c r="K12" i="3"/>
  <c r="J12" i="3"/>
  <c r="H12" i="3"/>
  <c r="G12" i="3"/>
  <c r="F12" i="3"/>
  <c r="E12" i="3"/>
  <c r="K11" i="3"/>
  <c r="J11" i="3"/>
  <c r="H11" i="3"/>
  <c r="G11" i="3"/>
  <c r="F11" i="3"/>
  <c r="E11" i="3"/>
  <c r="I10" i="3"/>
  <c r="I12" i="3" s="1"/>
  <c r="I9" i="3"/>
  <c r="I8" i="3"/>
  <c r="I13" i="3" s="1"/>
  <c r="K7" i="3"/>
  <c r="J7" i="3"/>
  <c r="H7" i="3"/>
  <c r="G7" i="3"/>
  <c r="F7" i="3"/>
  <c r="E7" i="3"/>
  <c r="K6" i="3"/>
  <c r="J6" i="3"/>
  <c r="H6" i="3"/>
  <c r="G6" i="3"/>
  <c r="F6" i="3"/>
  <c r="E6" i="3"/>
  <c r="K5" i="3"/>
  <c r="J5" i="3"/>
  <c r="H5" i="3"/>
  <c r="G5" i="3"/>
  <c r="F5" i="3"/>
  <c r="E5" i="3"/>
  <c r="I4" i="3"/>
  <c r="I6" i="3" s="1"/>
  <c r="I3" i="3"/>
  <c r="I2" i="3"/>
  <c r="I7" i="3" s="1"/>
  <c r="K97" i="2"/>
  <c r="J97" i="2"/>
  <c r="I97" i="2"/>
  <c r="H97" i="2"/>
  <c r="G97" i="2"/>
  <c r="F97" i="2"/>
  <c r="E97" i="2"/>
  <c r="K96" i="2"/>
  <c r="J96" i="2"/>
  <c r="I96" i="2"/>
  <c r="H96" i="2"/>
  <c r="G96" i="2"/>
  <c r="F96" i="2"/>
  <c r="E96" i="2"/>
  <c r="K95" i="2"/>
  <c r="J95" i="2"/>
  <c r="I95" i="2"/>
  <c r="H95" i="2"/>
  <c r="G95" i="2"/>
  <c r="F95" i="2"/>
  <c r="E95" i="2"/>
  <c r="I94" i="2"/>
  <c r="I93" i="2"/>
  <c r="I92" i="2"/>
  <c r="K91" i="2"/>
  <c r="J91" i="2"/>
  <c r="I91" i="2"/>
  <c r="H91" i="2"/>
  <c r="G91" i="2"/>
  <c r="F91" i="2"/>
  <c r="E91" i="2"/>
  <c r="K90" i="2"/>
  <c r="J90" i="2"/>
  <c r="I90" i="2"/>
  <c r="H90" i="2"/>
  <c r="G90" i="2"/>
  <c r="F90" i="2"/>
  <c r="E90" i="2"/>
  <c r="K89" i="2"/>
  <c r="J89" i="2"/>
  <c r="I89" i="2"/>
  <c r="H89" i="2"/>
  <c r="G89" i="2"/>
  <c r="F89" i="2"/>
  <c r="E89" i="2"/>
  <c r="I88" i="2"/>
  <c r="I87" i="2"/>
  <c r="I86" i="2"/>
  <c r="K85" i="2"/>
  <c r="J85" i="2"/>
  <c r="I85" i="2"/>
  <c r="H85" i="2"/>
  <c r="G85" i="2"/>
  <c r="F85" i="2"/>
  <c r="E85" i="2"/>
  <c r="K84" i="2"/>
  <c r="J84" i="2"/>
  <c r="I84" i="2"/>
  <c r="H84" i="2"/>
  <c r="G84" i="2"/>
  <c r="F84" i="2"/>
  <c r="E84" i="2"/>
  <c r="K83" i="2"/>
  <c r="J83" i="2"/>
  <c r="I83" i="2"/>
  <c r="H83" i="2"/>
  <c r="G83" i="2"/>
  <c r="F83" i="2"/>
  <c r="E83" i="2"/>
  <c r="I82" i="2"/>
  <c r="I81" i="2"/>
  <c r="I80" i="2"/>
  <c r="K79" i="2"/>
  <c r="J79" i="2"/>
  <c r="I79" i="2"/>
  <c r="H79" i="2"/>
  <c r="G79" i="2"/>
  <c r="F79" i="2"/>
  <c r="E79" i="2"/>
  <c r="K78" i="2"/>
  <c r="J78" i="2"/>
  <c r="I78" i="2"/>
  <c r="H78" i="2"/>
  <c r="G78" i="2"/>
  <c r="F78" i="2"/>
  <c r="E78" i="2"/>
  <c r="K77" i="2"/>
  <c r="J77" i="2"/>
  <c r="I77" i="2"/>
  <c r="H77" i="2"/>
  <c r="G77" i="2"/>
  <c r="F77" i="2"/>
  <c r="E77" i="2"/>
  <c r="I76" i="2"/>
  <c r="I75" i="2"/>
  <c r="I74" i="2"/>
  <c r="K73" i="2"/>
  <c r="J73" i="2"/>
  <c r="I73" i="2"/>
  <c r="H73" i="2"/>
  <c r="G73" i="2"/>
  <c r="F73" i="2"/>
  <c r="E73" i="2"/>
  <c r="K72" i="2"/>
  <c r="J72" i="2"/>
  <c r="I72" i="2"/>
  <c r="H72" i="2"/>
  <c r="G72" i="2"/>
  <c r="F72" i="2"/>
  <c r="E72" i="2"/>
  <c r="K71" i="2"/>
  <c r="J71" i="2"/>
  <c r="I71" i="2"/>
  <c r="H71" i="2"/>
  <c r="G71" i="2"/>
  <c r="F71" i="2"/>
  <c r="E71" i="2"/>
  <c r="I70" i="2"/>
  <c r="I69" i="2"/>
  <c r="I68" i="2"/>
  <c r="K67" i="2"/>
  <c r="J67" i="2"/>
  <c r="I67" i="2"/>
  <c r="H67" i="2"/>
  <c r="G67" i="2"/>
  <c r="F67" i="2"/>
  <c r="E67" i="2"/>
  <c r="K66" i="2"/>
  <c r="J66" i="2"/>
  <c r="I66" i="2"/>
  <c r="H66" i="2"/>
  <c r="G66" i="2"/>
  <c r="F66" i="2"/>
  <c r="E66" i="2"/>
  <c r="K65" i="2"/>
  <c r="J65" i="2"/>
  <c r="I65" i="2"/>
  <c r="H65" i="2"/>
  <c r="G65" i="2"/>
  <c r="F65" i="2"/>
  <c r="E65" i="2"/>
  <c r="I64" i="2"/>
  <c r="I63" i="2"/>
  <c r="I62" i="2"/>
  <c r="K61" i="2"/>
  <c r="J61" i="2"/>
  <c r="I61" i="2"/>
  <c r="H61" i="2"/>
  <c r="G61" i="2"/>
  <c r="F61" i="2"/>
  <c r="E61" i="2"/>
  <c r="K60" i="2"/>
  <c r="J60" i="2"/>
  <c r="I60" i="2"/>
  <c r="H60" i="2"/>
  <c r="G60" i="2"/>
  <c r="F60" i="2"/>
  <c r="E60" i="2"/>
  <c r="K59" i="2"/>
  <c r="J59" i="2"/>
  <c r="I59" i="2"/>
  <c r="H59" i="2"/>
  <c r="G59" i="2"/>
  <c r="F59" i="2"/>
  <c r="E59" i="2"/>
  <c r="I58" i="2"/>
  <c r="I57" i="2"/>
  <c r="I56" i="2"/>
  <c r="K55" i="2"/>
  <c r="J55" i="2"/>
  <c r="I55" i="2"/>
  <c r="H55" i="2"/>
  <c r="G55" i="2"/>
  <c r="F55" i="2"/>
  <c r="E55" i="2"/>
  <c r="K54" i="2"/>
  <c r="J54" i="2"/>
  <c r="I54" i="2"/>
  <c r="H54" i="2"/>
  <c r="G54" i="2"/>
  <c r="F54" i="2"/>
  <c r="E54" i="2"/>
  <c r="K53" i="2"/>
  <c r="J53" i="2"/>
  <c r="I53" i="2"/>
  <c r="H53" i="2"/>
  <c r="G53" i="2"/>
  <c r="F53" i="2"/>
  <c r="E53" i="2"/>
  <c r="I52" i="2"/>
  <c r="I51" i="2"/>
  <c r="I50" i="2"/>
  <c r="K49" i="2"/>
  <c r="J49" i="2"/>
  <c r="I49" i="2"/>
  <c r="H49" i="2"/>
  <c r="G49" i="2"/>
  <c r="F49" i="2"/>
  <c r="E49" i="2"/>
  <c r="K48" i="2"/>
  <c r="J48" i="2"/>
  <c r="I48" i="2"/>
  <c r="H48" i="2"/>
  <c r="G48" i="2"/>
  <c r="F48" i="2"/>
  <c r="E48" i="2"/>
  <c r="K47" i="2"/>
  <c r="J47" i="2"/>
  <c r="I47" i="2"/>
  <c r="H47" i="2"/>
  <c r="G47" i="2"/>
  <c r="F47" i="2"/>
  <c r="E47" i="2"/>
  <c r="I46" i="2"/>
  <c r="I45" i="2"/>
  <c r="I44" i="2"/>
  <c r="K43" i="2"/>
  <c r="J43" i="2"/>
  <c r="I43" i="2"/>
  <c r="H43" i="2"/>
  <c r="G43" i="2"/>
  <c r="F43" i="2"/>
  <c r="E43" i="2"/>
  <c r="K42" i="2"/>
  <c r="J42" i="2"/>
  <c r="I42" i="2"/>
  <c r="H42" i="2"/>
  <c r="G42" i="2"/>
  <c r="F42" i="2"/>
  <c r="E42" i="2"/>
  <c r="K41" i="2"/>
  <c r="J41" i="2"/>
  <c r="I41" i="2"/>
  <c r="H41" i="2"/>
  <c r="G41" i="2"/>
  <c r="F41" i="2"/>
  <c r="E41" i="2"/>
  <c r="I40" i="2"/>
  <c r="I39" i="2"/>
  <c r="I38" i="2"/>
  <c r="K37" i="2"/>
  <c r="J37" i="2"/>
  <c r="I37" i="2"/>
  <c r="H37" i="2"/>
  <c r="G37" i="2"/>
  <c r="F37" i="2"/>
  <c r="E37" i="2"/>
  <c r="K36" i="2"/>
  <c r="J36" i="2"/>
  <c r="I36" i="2"/>
  <c r="H36" i="2"/>
  <c r="G36" i="2"/>
  <c r="F36" i="2"/>
  <c r="E36" i="2"/>
  <c r="K35" i="2"/>
  <c r="J35" i="2"/>
  <c r="I35" i="2"/>
  <c r="H35" i="2"/>
  <c r="G35" i="2"/>
  <c r="F35" i="2"/>
  <c r="E35" i="2"/>
  <c r="I34" i="2"/>
  <c r="I33" i="2"/>
  <c r="I32" i="2"/>
  <c r="K31" i="2"/>
  <c r="J31" i="2"/>
  <c r="I31" i="2"/>
  <c r="H31" i="2"/>
  <c r="G31" i="2"/>
  <c r="F31" i="2"/>
  <c r="E31" i="2"/>
  <c r="K30" i="2"/>
  <c r="J30" i="2"/>
  <c r="I30" i="2"/>
  <c r="H30" i="2"/>
  <c r="G30" i="2"/>
  <c r="F30" i="2"/>
  <c r="E30" i="2"/>
  <c r="K29" i="2"/>
  <c r="J29" i="2"/>
  <c r="I29" i="2"/>
  <c r="H29" i="2"/>
  <c r="G29" i="2"/>
  <c r="F29" i="2"/>
  <c r="E29" i="2"/>
  <c r="I28" i="2"/>
  <c r="I27" i="2"/>
  <c r="I26" i="2"/>
  <c r="K25" i="2"/>
  <c r="J25" i="2"/>
  <c r="I25" i="2"/>
  <c r="H25" i="2"/>
  <c r="G25" i="2"/>
  <c r="F25" i="2"/>
  <c r="E25" i="2"/>
  <c r="K24" i="2"/>
  <c r="J24" i="2"/>
  <c r="I24" i="2"/>
  <c r="H24" i="2"/>
  <c r="G24" i="2"/>
  <c r="F24" i="2"/>
  <c r="E24" i="2"/>
  <c r="K23" i="2"/>
  <c r="J23" i="2"/>
  <c r="I23" i="2"/>
  <c r="H23" i="2"/>
  <c r="G23" i="2"/>
  <c r="F23" i="2"/>
  <c r="E23" i="2"/>
  <c r="I22" i="2"/>
  <c r="I21" i="2"/>
  <c r="I20" i="2"/>
  <c r="K19" i="2"/>
  <c r="J19" i="2"/>
  <c r="I19" i="2"/>
  <c r="H19" i="2"/>
  <c r="G19" i="2"/>
  <c r="F19" i="2"/>
  <c r="E19" i="2"/>
  <c r="K18" i="2"/>
  <c r="J18" i="2"/>
  <c r="I18" i="2"/>
  <c r="H18" i="2"/>
  <c r="G18" i="2"/>
  <c r="F18" i="2"/>
  <c r="E18" i="2"/>
  <c r="K17" i="2"/>
  <c r="J17" i="2"/>
  <c r="I17" i="2"/>
  <c r="H17" i="2"/>
  <c r="G17" i="2"/>
  <c r="F17" i="2"/>
  <c r="E17" i="2"/>
  <c r="I16" i="2"/>
  <c r="I15" i="2"/>
  <c r="I14" i="2"/>
  <c r="K13" i="2"/>
  <c r="J13" i="2"/>
  <c r="I13" i="2"/>
  <c r="H13" i="2"/>
  <c r="G13" i="2"/>
  <c r="F13" i="2"/>
  <c r="E13" i="2"/>
  <c r="K12" i="2"/>
  <c r="J12" i="2"/>
  <c r="I12" i="2"/>
  <c r="H12" i="2"/>
  <c r="G12" i="2"/>
  <c r="F12" i="2"/>
  <c r="E12" i="2"/>
  <c r="K11" i="2"/>
  <c r="J11" i="2"/>
  <c r="I11" i="2"/>
  <c r="H11" i="2"/>
  <c r="G11" i="2"/>
  <c r="F11" i="2"/>
  <c r="E11" i="2"/>
  <c r="I10" i="2"/>
  <c r="I9" i="2"/>
  <c r="I8" i="2"/>
  <c r="K7" i="2"/>
  <c r="J7" i="2"/>
  <c r="I7" i="2"/>
  <c r="H7" i="2"/>
  <c r="G7" i="2"/>
  <c r="F7" i="2"/>
  <c r="E7" i="2"/>
  <c r="K6" i="2"/>
  <c r="J6" i="2"/>
  <c r="I6" i="2"/>
  <c r="H6" i="2"/>
  <c r="G6" i="2"/>
  <c r="F6" i="2"/>
  <c r="E6" i="2"/>
  <c r="K5" i="2"/>
  <c r="J5" i="2"/>
  <c r="I5" i="2"/>
  <c r="H5" i="2"/>
  <c r="G5" i="2"/>
  <c r="F5" i="2"/>
  <c r="E5" i="2"/>
  <c r="I4" i="2"/>
  <c r="I3" i="2"/>
  <c r="I2" i="2"/>
  <c r="I94" i="1"/>
  <c r="I93" i="1"/>
  <c r="I92" i="1"/>
  <c r="I88" i="1"/>
  <c r="I87" i="1"/>
  <c r="I86" i="1"/>
  <c r="I82" i="1"/>
  <c r="I81" i="1"/>
  <c r="I80" i="1"/>
  <c r="I76" i="1"/>
  <c r="I75" i="1"/>
  <c r="I74" i="1"/>
  <c r="I70" i="1"/>
  <c r="I69" i="1"/>
  <c r="I68" i="1"/>
  <c r="I64" i="1"/>
  <c r="I63" i="1"/>
  <c r="I62" i="1"/>
  <c r="I58" i="1"/>
  <c r="I57" i="1"/>
  <c r="I56" i="1"/>
  <c r="I52" i="1"/>
  <c r="I51" i="1"/>
  <c r="I50" i="1"/>
  <c r="I46" i="1"/>
  <c r="I48" i="1" s="1"/>
  <c r="I45" i="1"/>
  <c r="I44" i="1"/>
  <c r="I40" i="1"/>
  <c r="I39" i="1"/>
  <c r="I38" i="1"/>
  <c r="I34" i="1"/>
  <c r="I33" i="1"/>
  <c r="I32" i="1"/>
  <c r="I28" i="1"/>
  <c r="I27" i="1"/>
  <c r="I26" i="1"/>
  <c r="I22" i="1"/>
  <c r="I21" i="1"/>
  <c r="I20" i="1"/>
  <c r="I16" i="1"/>
  <c r="I15" i="1"/>
  <c r="I14" i="1"/>
  <c r="I10" i="1"/>
  <c r="I9" i="1"/>
  <c r="I8" i="1"/>
  <c r="K97" i="1"/>
  <c r="J97" i="1"/>
  <c r="H97" i="1"/>
  <c r="G97" i="1"/>
  <c r="F97" i="1"/>
  <c r="E97" i="1"/>
  <c r="K96" i="1"/>
  <c r="J96" i="1"/>
  <c r="H96" i="1"/>
  <c r="G96" i="1"/>
  <c r="F96" i="1"/>
  <c r="E96" i="1"/>
  <c r="K95" i="1"/>
  <c r="J95" i="1"/>
  <c r="H95" i="1"/>
  <c r="G95" i="1"/>
  <c r="F95" i="1"/>
  <c r="E95" i="1"/>
  <c r="K91" i="1"/>
  <c r="J91" i="1"/>
  <c r="H91" i="1"/>
  <c r="G91" i="1"/>
  <c r="F91" i="1"/>
  <c r="E91" i="1"/>
  <c r="K90" i="1"/>
  <c r="J90" i="1"/>
  <c r="H90" i="1"/>
  <c r="G90" i="1"/>
  <c r="F90" i="1"/>
  <c r="E90" i="1"/>
  <c r="K89" i="1"/>
  <c r="J89" i="1"/>
  <c r="H89" i="1"/>
  <c r="G89" i="1"/>
  <c r="F89" i="1"/>
  <c r="E89" i="1"/>
  <c r="K85" i="1"/>
  <c r="J85" i="1"/>
  <c r="H85" i="1"/>
  <c r="G85" i="1"/>
  <c r="F85" i="1"/>
  <c r="E85" i="1"/>
  <c r="K84" i="1"/>
  <c r="J84" i="1"/>
  <c r="H84" i="1"/>
  <c r="G84" i="1"/>
  <c r="F84" i="1"/>
  <c r="E84" i="1"/>
  <c r="K83" i="1"/>
  <c r="J83" i="1"/>
  <c r="H83" i="1"/>
  <c r="G83" i="1"/>
  <c r="F83" i="1"/>
  <c r="E83" i="1"/>
  <c r="K79" i="1"/>
  <c r="J79" i="1"/>
  <c r="H79" i="1"/>
  <c r="G79" i="1"/>
  <c r="F79" i="1"/>
  <c r="E79" i="1"/>
  <c r="K78" i="1"/>
  <c r="J78" i="1"/>
  <c r="H78" i="1"/>
  <c r="G78" i="1"/>
  <c r="F78" i="1"/>
  <c r="E78" i="1"/>
  <c r="K77" i="1"/>
  <c r="J77" i="1"/>
  <c r="H77" i="1"/>
  <c r="G77" i="1"/>
  <c r="F77" i="1"/>
  <c r="E77" i="1"/>
  <c r="K73" i="1"/>
  <c r="J73" i="1"/>
  <c r="H73" i="1"/>
  <c r="G73" i="1"/>
  <c r="F73" i="1"/>
  <c r="E73" i="1"/>
  <c r="K72" i="1"/>
  <c r="J72" i="1"/>
  <c r="H72" i="1"/>
  <c r="G72" i="1"/>
  <c r="F72" i="1"/>
  <c r="E72" i="1"/>
  <c r="K71" i="1"/>
  <c r="J71" i="1"/>
  <c r="H71" i="1"/>
  <c r="G71" i="1"/>
  <c r="F71" i="1"/>
  <c r="E71" i="1"/>
  <c r="K67" i="1"/>
  <c r="J67" i="1"/>
  <c r="H67" i="1"/>
  <c r="G67" i="1"/>
  <c r="F67" i="1"/>
  <c r="E67" i="1"/>
  <c r="K66" i="1"/>
  <c r="J66" i="1"/>
  <c r="H66" i="1"/>
  <c r="G66" i="1"/>
  <c r="F66" i="1"/>
  <c r="E66" i="1"/>
  <c r="K65" i="1"/>
  <c r="J65" i="1"/>
  <c r="H65" i="1"/>
  <c r="G65" i="1"/>
  <c r="F65" i="1"/>
  <c r="E65" i="1"/>
  <c r="K61" i="1"/>
  <c r="J61" i="1"/>
  <c r="H61" i="1"/>
  <c r="G61" i="1"/>
  <c r="F61" i="1"/>
  <c r="E61" i="1"/>
  <c r="K60" i="1"/>
  <c r="J60" i="1"/>
  <c r="H60" i="1"/>
  <c r="G60" i="1"/>
  <c r="F60" i="1"/>
  <c r="E60" i="1"/>
  <c r="K59" i="1"/>
  <c r="J59" i="1"/>
  <c r="H59" i="1"/>
  <c r="G59" i="1"/>
  <c r="F59" i="1"/>
  <c r="E59" i="1"/>
  <c r="K55" i="1"/>
  <c r="J55" i="1"/>
  <c r="H55" i="1"/>
  <c r="G55" i="1"/>
  <c r="F55" i="1"/>
  <c r="E55" i="1"/>
  <c r="K54" i="1"/>
  <c r="J54" i="1"/>
  <c r="H54" i="1"/>
  <c r="G54" i="1"/>
  <c r="F54" i="1"/>
  <c r="E54" i="1"/>
  <c r="K53" i="1"/>
  <c r="J53" i="1"/>
  <c r="H53" i="1"/>
  <c r="G53" i="1"/>
  <c r="F53" i="1"/>
  <c r="E53" i="1"/>
  <c r="K49" i="1"/>
  <c r="J49" i="1"/>
  <c r="H49" i="1"/>
  <c r="G49" i="1"/>
  <c r="F49" i="1"/>
  <c r="E49" i="1"/>
  <c r="K48" i="1"/>
  <c r="J48" i="1"/>
  <c r="H48" i="1"/>
  <c r="G48" i="1"/>
  <c r="F48" i="1"/>
  <c r="E48" i="1"/>
  <c r="K47" i="1"/>
  <c r="J47" i="1"/>
  <c r="H47" i="1"/>
  <c r="G47" i="1"/>
  <c r="F47" i="1"/>
  <c r="E47" i="1"/>
  <c r="K43" i="1"/>
  <c r="J43" i="1"/>
  <c r="H43" i="1"/>
  <c r="G43" i="1"/>
  <c r="F43" i="1"/>
  <c r="E43" i="1"/>
  <c r="K42" i="1"/>
  <c r="J42" i="1"/>
  <c r="H42" i="1"/>
  <c r="G42" i="1"/>
  <c r="F42" i="1"/>
  <c r="E42" i="1"/>
  <c r="K41" i="1"/>
  <c r="J41" i="1"/>
  <c r="H41" i="1"/>
  <c r="G41" i="1"/>
  <c r="F41" i="1"/>
  <c r="E41" i="1"/>
  <c r="K37" i="1"/>
  <c r="J37" i="1"/>
  <c r="H37" i="1"/>
  <c r="G37" i="1"/>
  <c r="F37" i="1"/>
  <c r="E37" i="1"/>
  <c r="K36" i="1"/>
  <c r="J36" i="1"/>
  <c r="H36" i="1"/>
  <c r="G36" i="1"/>
  <c r="F36" i="1"/>
  <c r="E36" i="1"/>
  <c r="K35" i="1"/>
  <c r="J35" i="1"/>
  <c r="H35" i="1"/>
  <c r="G35" i="1"/>
  <c r="F35" i="1"/>
  <c r="E35" i="1"/>
  <c r="K31" i="1"/>
  <c r="J31" i="1"/>
  <c r="H31" i="1"/>
  <c r="G31" i="1"/>
  <c r="F31" i="1"/>
  <c r="E31" i="1"/>
  <c r="K30" i="1"/>
  <c r="J30" i="1"/>
  <c r="H30" i="1"/>
  <c r="G30" i="1"/>
  <c r="F30" i="1"/>
  <c r="E30" i="1"/>
  <c r="K29" i="1"/>
  <c r="J29" i="1"/>
  <c r="H29" i="1"/>
  <c r="G29" i="1"/>
  <c r="F29" i="1"/>
  <c r="E29" i="1"/>
  <c r="K25" i="1"/>
  <c r="J25" i="1"/>
  <c r="H25" i="1"/>
  <c r="G25" i="1"/>
  <c r="F25" i="1"/>
  <c r="E25" i="1"/>
  <c r="K24" i="1"/>
  <c r="J24" i="1"/>
  <c r="H24" i="1"/>
  <c r="G24" i="1"/>
  <c r="F24" i="1"/>
  <c r="E24" i="1"/>
  <c r="K23" i="1"/>
  <c r="J23" i="1"/>
  <c r="H23" i="1"/>
  <c r="G23" i="1"/>
  <c r="F23" i="1"/>
  <c r="E23" i="1"/>
  <c r="K19" i="1"/>
  <c r="J19" i="1"/>
  <c r="H19" i="1"/>
  <c r="G19" i="1"/>
  <c r="F19" i="1"/>
  <c r="E19" i="1"/>
  <c r="K18" i="1"/>
  <c r="J18" i="1"/>
  <c r="H18" i="1"/>
  <c r="G18" i="1"/>
  <c r="F18" i="1"/>
  <c r="E18" i="1"/>
  <c r="K17" i="1"/>
  <c r="J17" i="1"/>
  <c r="H17" i="1"/>
  <c r="G17" i="1"/>
  <c r="F17" i="1"/>
  <c r="E17" i="1"/>
  <c r="K13" i="1"/>
  <c r="J13" i="1"/>
  <c r="H13" i="1"/>
  <c r="G13" i="1"/>
  <c r="F13" i="1"/>
  <c r="E13" i="1"/>
  <c r="K12" i="1"/>
  <c r="J12" i="1"/>
  <c r="H12" i="1"/>
  <c r="G12" i="1"/>
  <c r="F12" i="1"/>
  <c r="E12" i="1"/>
  <c r="K11" i="1"/>
  <c r="J11" i="1"/>
  <c r="H11" i="1"/>
  <c r="G11" i="1"/>
  <c r="F11" i="1"/>
  <c r="E11" i="1"/>
  <c r="E5" i="1"/>
  <c r="F5" i="1"/>
  <c r="G5" i="1"/>
  <c r="H5" i="1"/>
  <c r="J5" i="1"/>
  <c r="K5" i="1"/>
  <c r="J6" i="1"/>
  <c r="K6" i="1"/>
  <c r="J7" i="1"/>
  <c r="K7" i="1"/>
  <c r="I3" i="1"/>
  <c r="I4" i="1"/>
  <c r="I2" i="1"/>
  <c r="F6" i="1"/>
  <c r="G6" i="1"/>
  <c r="H6" i="1"/>
  <c r="F7" i="1"/>
  <c r="G7" i="1"/>
  <c r="H7" i="1"/>
  <c r="E7" i="1"/>
  <c r="E6" i="1"/>
  <c r="I95" i="1" l="1"/>
  <c r="I96" i="1"/>
  <c r="I97" i="1"/>
  <c r="I91" i="1"/>
  <c r="I90" i="1"/>
  <c r="I83" i="1"/>
  <c r="I85" i="1"/>
  <c r="I84" i="1"/>
  <c r="I77" i="1"/>
  <c r="I78" i="1"/>
  <c r="I73" i="1"/>
  <c r="I72" i="1"/>
  <c r="I65" i="1"/>
  <c r="I66" i="1"/>
  <c r="I67" i="1"/>
  <c r="I61" i="1"/>
  <c r="I60" i="1"/>
  <c r="I59" i="1"/>
  <c r="I54" i="1"/>
  <c r="I53" i="1"/>
  <c r="I55" i="1"/>
  <c r="I49" i="1"/>
  <c r="I47" i="1"/>
  <c r="I41" i="1"/>
  <c r="I43" i="1"/>
  <c r="I42" i="1"/>
  <c r="I37" i="1"/>
  <c r="I36" i="1"/>
  <c r="I31" i="1"/>
  <c r="I29" i="1"/>
  <c r="I30" i="1"/>
  <c r="I24" i="1"/>
  <c r="I18" i="1"/>
  <c r="I13" i="1"/>
  <c r="I11" i="1"/>
  <c r="I12" i="1"/>
  <c r="I5" i="4"/>
  <c r="I11" i="4"/>
  <c r="I17" i="4"/>
  <c r="I23" i="4"/>
  <c r="I29" i="4"/>
  <c r="I35" i="4"/>
  <c r="I41" i="4"/>
  <c r="I47" i="4"/>
  <c r="I53" i="4"/>
  <c r="I59" i="4"/>
  <c r="I65" i="4"/>
  <c r="I71" i="4"/>
  <c r="I77" i="4"/>
  <c r="I83" i="4"/>
  <c r="I89" i="4"/>
  <c r="I95" i="4"/>
  <c r="I5" i="3"/>
  <c r="I17" i="3"/>
  <c r="I29" i="3"/>
  <c r="I41" i="3"/>
  <c r="I53" i="3"/>
  <c r="I65" i="3"/>
  <c r="I71" i="3"/>
  <c r="I83" i="3"/>
  <c r="I95" i="3"/>
  <c r="I11" i="3"/>
  <c r="I23" i="3"/>
  <c r="I35" i="3"/>
  <c r="I47" i="3"/>
  <c r="I59" i="3"/>
  <c r="I77" i="3"/>
  <c r="I89" i="3"/>
  <c r="I89" i="1"/>
  <c r="I79" i="1"/>
  <c r="I71" i="1"/>
  <c r="I35" i="1"/>
  <c r="I25" i="1"/>
  <c r="I23" i="1"/>
  <c r="I17" i="1"/>
  <c r="I19" i="1"/>
  <c r="I7" i="1"/>
  <c r="I6" i="1"/>
  <c r="I5" i="1"/>
  <c r="E66" i="5" l="1"/>
  <c r="E67" i="5"/>
  <c r="E65" i="5"/>
  <c r="E41" i="5"/>
  <c r="E42" i="5"/>
  <c r="E43" i="5"/>
  <c r="E17" i="5" l="1"/>
  <c r="E73" i="5"/>
  <c r="E72" i="5"/>
  <c r="E71" i="5"/>
  <c r="E19" i="5"/>
  <c r="E49" i="5"/>
  <c r="E47" i="5"/>
  <c r="E48" i="5"/>
  <c r="E24" i="5" l="1"/>
  <c r="E25" i="5"/>
  <c r="E23" i="5"/>
</calcChain>
</file>

<file path=xl/sharedStrings.xml><?xml version="1.0" encoding="utf-8"?>
<sst xmlns="http://schemas.openxmlformats.org/spreadsheetml/2006/main" count="1875" uniqueCount="480">
  <si>
    <t>id</t>
  </si>
  <si>
    <t>model</t>
  </si>
  <si>
    <t>language</t>
  </si>
  <si>
    <t>question</t>
  </si>
  <si>
    <t>smollm2</t>
  </si>
  <si>
    <t>de</t>
  </si>
  <si>
    <t>1D</t>
  </si>
  <si>
    <t>2D</t>
  </si>
  <si>
    <t>3D</t>
  </si>
  <si>
    <t>en</t>
  </si>
  <si>
    <t>1E</t>
  </si>
  <si>
    <t>2E</t>
  </si>
  <si>
    <t>3E</t>
  </si>
  <si>
    <t>llama3.2</t>
  </si>
  <si>
    <t>4D</t>
  </si>
  <si>
    <t>4E</t>
  </si>
  <si>
    <t>trans time</t>
  </si>
  <si>
    <t>retrieve time</t>
  </si>
  <si>
    <t>generate time</t>
  </si>
  <si>
    <t>tsd1 avg</t>
  </si>
  <si>
    <t>tsd1 max</t>
  </si>
  <si>
    <t>tsd1 min</t>
  </si>
  <si>
    <t>time sum</t>
  </si>
  <si>
    <t>content</t>
  </si>
  <si>
    <t>tsd2 avg</t>
  </si>
  <si>
    <t>tsd2 max</t>
  </si>
  <si>
    <t>tse1 avg</t>
  </si>
  <si>
    <t>tse1 max</t>
  </si>
  <si>
    <t>tse1 min</t>
  </si>
  <si>
    <t>tsd2 min</t>
  </si>
  <si>
    <t>tse2 avg</t>
  </si>
  <si>
    <t>tse2 max</t>
  </si>
  <si>
    <t>tse2 min</t>
  </si>
  <si>
    <t>tsd3 avg</t>
  </si>
  <si>
    <t>tsd3 max</t>
  </si>
  <si>
    <t>tsd3 min</t>
  </si>
  <si>
    <t>tse3 avg</t>
  </si>
  <si>
    <t>tse3 max</t>
  </si>
  <si>
    <t>tse3 min</t>
  </si>
  <si>
    <t>tsd4 avg</t>
  </si>
  <si>
    <t>tsd4 max</t>
  </si>
  <si>
    <t>tsd4 min</t>
  </si>
  <si>
    <t>tse4 avg</t>
  </si>
  <si>
    <t>tse4 max</t>
  </si>
  <si>
    <t>tse4 min</t>
  </si>
  <si>
    <t>tld1 avg</t>
  </si>
  <si>
    <t>tld1 max</t>
  </si>
  <si>
    <t>tld1 min</t>
  </si>
  <si>
    <t>tle1 avg</t>
  </si>
  <si>
    <t>tle1 max</t>
  </si>
  <si>
    <t>tle1 min</t>
  </si>
  <si>
    <t>tld2 avg</t>
  </si>
  <si>
    <t>tld2 max</t>
  </si>
  <si>
    <t>tld2 min</t>
  </si>
  <si>
    <t>tle2 avg</t>
  </si>
  <si>
    <t>tle2 max</t>
  </si>
  <si>
    <t>tle2 min</t>
  </si>
  <si>
    <t>tld3 avg</t>
  </si>
  <si>
    <t>tld3 max</t>
  </si>
  <si>
    <t>tld3 min</t>
  </si>
  <si>
    <t>tle3 avg</t>
  </si>
  <si>
    <t>tle3 max</t>
  </si>
  <si>
    <t>tle3 min</t>
  </si>
  <si>
    <t>tld4 avg</t>
  </si>
  <si>
    <t>tld4 max</t>
  </si>
  <si>
    <t>tld4 min</t>
  </si>
  <si>
    <t>tle4 avg</t>
  </si>
  <si>
    <t>tle4 max</t>
  </si>
  <si>
    <t>tle4 min</t>
  </si>
  <si>
    <t>tsd1-1</t>
  </si>
  <si>
    <t>tsd1-2</t>
  </si>
  <si>
    <t>tsd1-3</t>
  </si>
  <si>
    <t>tse1-1</t>
  </si>
  <si>
    <t>tse1-2</t>
  </si>
  <si>
    <t>tse1-3</t>
  </si>
  <si>
    <t>tsd2-1</t>
  </si>
  <si>
    <t>tsd2-2</t>
  </si>
  <si>
    <t>tsd2-3</t>
  </si>
  <si>
    <t>tse2-1</t>
  </si>
  <si>
    <t>tse2-2</t>
  </si>
  <si>
    <t>tse2-3</t>
  </si>
  <si>
    <t>tsd3-1</t>
  </si>
  <si>
    <t>tsd3-2</t>
  </si>
  <si>
    <t>tsd3-3</t>
  </si>
  <si>
    <t>tse3-1</t>
  </si>
  <si>
    <t>tse3-2</t>
  </si>
  <si>
    <t>tse3-3</t>
  </si>
  <si>
    <t>tsd4-1</t>
  </si>
  <si>
    <t>tsd4-2</t>
  </si>
  <si>
    <t>tsd4-3</t>
  </si>
  <si>
    <t>tse4-1</t>
  </si>
  <si>
    <t>tse4-2</t>
  </si>
  <si>
    <t>tse4-3</t>
  </si>
  <si>
    <t>tld1-1</t>
  </si>
  <si>
    <t>tld1-2</t>
  </si>
  <si>
    <t>tld1-3</t>
  </si>
  <si>
    <t>tle1-1</t>
  </si>
  <si>
    <t>tle1-2</t>
  </si>
  <si>
    <t>tle1-3</t>
  </si>
  <si>
    <t>tld2-1</t>
  </si>
  <si>
    <t>tld2-2</t>
  </si>
  <si>
    <t>tld2-3</t>
  </si>
  <si>
    <t>tle2-1</t>
  </si>
  <si>
    <t>tle2-2</t>
  </si>
  <si>
    <t>tle2-3</t>
  </si>
  <si>
    <t>tld3-1</t>
  </si>
  <si>
    <t>tld3-2</t>
  </si>
  <si>
    <t>tld3-3</t>
  </si>
  <si>
    <t>tle3-1</t>
  </si>
  <si>
    <t>tle3-2</t>
  </si>
  <si>
    <t>tle3-3</t>
  </si>
  <si>
    <t>tld4-1</t>
  </si>
  <si>
    <t>tld4-2</t>
  </si>
  <si>
    <t>tld4-3</t>
  </si>
  <si>
    <t>tle4-1</t>
  </si>
  <si>
    <t>tle4-2</t>
  </si>
  <si>
    <t>tle4-3</t>
  </si>
  <si>
    <t>msd1-1</t>
  </si>
  <si>
    <t>msd1-2</t>
  </si>
  <si>
    <t>msd1-3</t>
  </si>
  <si>
    <t>msd1 avg</t>
  </si>
  <si>
    <t>msd1 max</t>
  </si>
  <si>
    <t>msd1 min</t>
  </si>
  <si>
    <t>msd2-1</t>
  </si>
  <si>
    <t>msd2-2</t>
  </si>
  <si>
    <t>msd2-3</t>
  </si>
  <si>
    <t>msd2 avg</t>
  </si>
  <si>
    <t>msd2 max</t>
  </si>
  <si>
    <t>msd2 min</t>
  </si>
  <si>
    <t>msd3-1</t>
  </si>
  <si>
    <t>msd3-2</t>
  </si>
  <si>
    <t>msd3-3</t>
  </si>
  <si>
    <t>msd3 avg</t>
  </si>
  <si>
    <t>msd3 max</t>
  </si>
  <si>
    <t>msd3 min</t>
  </si>
  <si>
    <t>msd4-1</t>
  </si>
  <si>
    <t>msd4-2</t>
  </si>
  <si>
    <t>msd4-3</t>
  </si>
  <si>
    <t>msd4 avg</t>
  </si>
  <si>
    <t>msd4 max</t>
  </si>
  <si>
    <t>msd4 min</t>
  </si>
  <si>
    <t>mse1-1</t>
  </si>
  <si>
    <t>mse1-2</t>
  </si>
  <si>
    <t>mse1-3</t>
  </si>
  <si>
    <t>mse1 avg</t>
  </si>
  <si>
    <t>mse1 max</t>
  </si>
  <si>
    <t>mse1 min</t>
  </si>
  <si>
    <t>mse2-1</t>
  </si>
  <si>
    <t>mse2-2</t>
  </si>
  <si>
    <t>mse2-3</t>
  </si>
  <si>
    <t>mse2 avg</t>
  </si>
  <si>
    <t>mse2 max</t>
  </si>
  <si>
    <t>mse2 min</t>
  </si>
  <si>
    <t>mse3-1</t>
  </si>
  <si>
    <t>mse3-2</t>
  </si>
  <si>
    <t>mse3-3</t>
  </si>
  <si>
    <t>mse3 avg</t>
  </si>
  <si>
    <t>mse3 max</t>
  </si>
  <si>
    <t>mse3 min</t>
  </si>
  <si>
    <t>mse4-1</t>
  </si>
  <si>
    <t>mse4-2</t>
  </si>
  <si>
    <t>mse4-3</t>
  </si>
  <si>
    <t>mse4 avg</t>
  </si>
  <si>
    <t>mse4 max</t>
  </si>
  <si>
    <t>mse4 min</t>
  </si>
  <si>
    <t>mld1-1</t>
  </si>
  <si>
    <t>mld1-2</t>
  </si>
  <si>
    <t>mld1-3</t>
  </si>
  <si>
    <t>mld1 avg</t>
  </si>
  <si>
    <t>mld1 max</t>
  </si>
  <si>
    <t>mld1 min</t>
  </si>
  <si>
    <t>mld2-1</t>
  </si>
  <si>
    <t>mld2-2</t>
  </si>
  <si>
    <t>mld2-3</t>
  </si>
  <si>
    <t>mld2 avg</t>
  </si>
  <si>
    <t>mld2 max</t>
  </si>
  <si>
    <t>mld2 min</t>
  </si>
  <si>
    <t>mld3-1</t>
  </si>
  <si>
    <t>mld3-2</t>
  </si>
  <si>
    <t>mld3-3</t>
  </si>
  <si>
    <t>mld3 avg</t>
  </si>
  <si>
    <t>mld3 max</t>
  </si>
  <si>
    <t>mld3 min</t>
  </si>
  <si>
    <t>mld4-1</t>
  </si>
  <si>
    <t>mld4-2</t>
  </si>
  <si>
    <t>mld4-3</t>
  </si>
  <si>
    <t>mld4 avg</t>
  </si>
  <si>
    <t>mld4 max</t>
  </si>
  <si>
    <t>mld4 min</t>
  </si>
  <si>
    <t>mle1-1</t>
  </si>
  <si>
    <t>mle1-2</t>
  </si>
  <si>
    <t>mle1-3</t>
  </si>
  <si>
    <t>mle1 avg</t>
  </si>
  <si>
    <t>mle1 max</t>
  </si>
  <si>
    <t>mle1 min</t>
  </si>
  <si>
    <t>mle2-1</t>
  </si>
  <si>
    <t>mle2-2</t>
  </si>
  <si>
    <t>mle2-3</t>
  </si>
  <si>
    <t>mle2 avg</t>
  </si>
  <si>
    <t>mle2 max</t>
  </si>
  <si>
    <t>mle2 min</t>
  </si>
  <si>
    <t>mle3-1</t>
  </si>
  <si>
    <t>mle3-2</t>
  </si>
  <si>
    <t>mle3-3</t>
  </si>
  <si>
    <t>mle3 avg</t>
  </si>
  <si>
    <t>mle3 max</t>
  </si>
  <si>
    <t>mle3 min</t>
  </si>
  <si>
    <t>mle4-1</t>
  </si>
  <si>
    <t>mle4-2</t>
  </si>
  <si>
    <t>mle4-3</t>
  </si>
  <si>
    <t>mle4 avg</t>
  </si>
  <si>
    <t>mle4 max</t>
  </si>
  <si>
    <t>mle4 min</t>
  </si>
  <si>
    <t>dsd1-1</t>
  </si>
  <si>
    <t>dsd1-2</t>
  </si>
  <si>
    <t>dsd1-3</t>
  </si>
  <si>
    <t>dsd1 avg</t>
  </si>
  <si>
    <t>dsd1 max</t>
  </si>
  <si>
    <t>dsd1 min</t>
  </si>
  <si>
    <t>dsd2-1</t>
  </si>
  <si>
    <t>dsd2-2</t>
  </si>
  <si>
    <t>dsd2-3</t>
  </si>
  <si>
    <t>dsd2 avg</t>
  </si>
  <si>
    <t>dsd2 max</t>
  </si>
  <si>
    <t>dsd2 min</t>
  </si>
  <si>
    <t>dsd3-1</t>
  </si>
  <si>
    <t>dsd3-2</t>
  </si>
  <si>
    <t>dsd3-3</t>
  </si>
  <si>
    <t>dsd3 avg</t>
  </si>
  <si>
    <t>dsd3 max</t>
  </si>
  <si>
    <t>dsd3 min</t>
  </si>
  <si>
    <t>dsd4-1</t>
  </si>
  <si>
    <t>dsd4-2</t>
  </si>
  <si>
    <t>dsd4-3</t>
  </si>
  <si>
    <t>dsd4 avg</t>
  </si>
  <si>
    <t>dsd4 max</t>
  </si>
  <si>
    <t>dsd4 min</t>
  </si>
  <si>
    <t>dse1-1</t>
  </si>
  <si>
    <t>dse1-2</t>
  </si>
  <si>
    <t>dse1-3</t>
  </si>
  <si>
    <t>dse1 avg</t>
  </si>
  <si>
    <t>dse1 max</t>
  </si>
  <si>
    <t>dse1 min</t>
  </si>
  <si>
    <t>dse2-1</t>
  </si>
  <si>
    <t>dse2-2</t>
  </si>
  <si>
    <t>dse2-3</t>
  </si>
  <si>
    <t>dse2 avg</t>
  </si>
  <si>
    <t>dse2 max</t>
  </si>
  <si>
    <t>dse2 min</t>
  </si>
  <si>
    <t>dse3-1</t>
  </si>
  <si>
    <t>dse3-2</t>
  </si>
  <si>
    <t>dse3-3</t>
  </si>
  <si>
    <t>dse3 avg</t>
  </si>
  <si>
    <t>dse3 max</t>
  </si>
  <si>
    <t>dse3 min</t>
  </si>
  <si>
    <t>dse4-1</t>
  </si>
  <si>
    <t>dse4-2</t>
  </si>
  <si>
    <t>dse4-3</t>
  </si>
  <si>
    <t>dse4 avg</t>
  </si>
  <si>
    <t>dse4 max</t>
  </si>
  <si>
    <t>dse4 min</t>
  </si>
  <si>
    <t>dle1-1</t>
  </si>
  <si>
    <t>dle1-2</t>
  </si>
  <si>
    <t>dle1-3</t>
  </si>
  <si>
    <t>dle1 avg</t>
  </si>
  <si>
    <t>dle1 max</t>
  </si>
  <si>
    <t>dle1 min</t>
  </si>
  <si>
    <t>dle2-1</t>
  </si>
  <si>
    <t>dle2-2</t>
  </si>
  <si>
    <t>dle2-3</t>
  </si>
  <si>
    <t>dle2 avg</t>
  </si>
  <si>
    <t>dle2 max</t>
  </si>
  <si>
    <t>dle2 min</t>
  </si>
  <si>
    <t>dle3-1</t>
  </si>
  <si>
    <t>dle3-2</t>
  </si>
  <si>
    <t>dle3-3</t>
  </si>
  <si>
    <t>dle3 avg</t>
  </si>
  <si>
    <t>dle3 max</t>
  </si>
  <si>
    <t>dle3 min</t>
  </si>
  <si>
    <t>dle4-1</t>
  </si>
  <si>
    <t>dle4-2</t>
  </si>
  <si>
    <t>dle4-3</t>
  </si>
  <si>
    <t>dle4 avg</t>
  </si>
  <si>
    <t>dle4 max</t>
  </si>
  <si>
    <t>dle4 min</t>
  </si>
  <si>
    <t>dld1-1</t>
  </si>
  <si>
    <t>dld1-2</t>
  </si>
  <si>
    <t>dld1-3</t>
  </si>
  <si>
    <t>dld1 avg</t>
  </si>
  <si>
    <t>dld1 max</t>
  </si>
  <si>
    <t>dld1 min</t>
  </si>
  <si>
    <t>dld2-1</t>
  </si>
  <si>
    <t>dld2-2</t>
  </si>
  <si>
    <t>dld2-3</t>
  </si>
  <si>
    <t>dld2 avg</t>
  </si>
  <si>
    <t>dld2 max</t>
  </si>
  <si>
    <t>dld2 min</t>
  </si>
  <si>
    <t>dld3-1</t>
  </si>
  <si>
    <t>dld3-2</t>
  </si>
  <si>
    <t>dld3-3</t>
  </si>
  <si>
    <t>dld3 avg</t>
  </si>
  <si>
    <t>dld3 max</t>
  </si>
  <si>
    <t>dld3 min</t>
  </si>
  <si>
    <t>dld4-1</t>
  </si>
  <si>
    <t>dld4-2</t>
  </si>
  <si>
    <t>dld4-3</t>
  </si>
  <si>
    <t>dld4 avg</t>
  </si>
  <si>
    <t>dld4 max</t>
  </si>
  <si>
    <t>dld4 min</t>
  </si>
  <si>
    <t>asd1-1</t>
  </si>
  <si>
    <t>asd1-2</t>
  </si>
  <si>
    <t>asd1-3</t>
  </si>
  <si>
    <t>asd1 avg</t>
  </si>
  <si>
    <t>asd1 max</t>
  </si>
  <si>
    <t>asd1 min</t>
  </si>
  <si>
    <t>asd2-1</t>
  </si>
  <si>
    <t>asd2-2</t>
  </si>
  <si>
    <t>asd2-3</t>
  </si>
  <si>
    <t>asd2 avg</t>
  </si>
  <si>
    <t>asd2 max</t>
  </si>
  <si>
    <t>asd2 min</t>
  </si>
  <si>
    <t>asd3-1</t>
  </si>
  <si>
    <t>asd3-2</t>
  </si>
  <si>
    <t>asd3-3</t>
  </si>
  <si>
    <t>asd3 avg</t>
  </si>
  <si>
    <t>asd3 max</t>
  </si>
  <si>
    <t>asd3 min</t>
  </si>
  <si>
    <t>asd4-1</t>
  </si>
  <si>
    <t>asd4-2</t>
  </si>
  <si>
    <t>asd4-3</t>
  </si>
  <si>
    <t>asd4 avg</t>
  </si>
  <si>
    <t>asd4 max</t>
  </si>
  <si>
    <t>asd4 min</t>
  </si>
  <si>
    <t>ase1-1</t>
  </si>
  <si>
    <t>ase1-2</t>
  </si>
  <si>
    <t>ase1-3</t>
  </si>
  <si>
    <t>ase1 avg</t>
  </si>
  <si>
    <t>ase1 max</t>
  </si>
  <si>
    <t>ase1 min</t>
  </si>
  <si>
    <t>ase2-1</t>
  </si>
  <si>
    <t>ase2-2</t>
  </si>
  <si>
    <t>ase2-3</t>
  </si>
  <si>
    <t>ase2 avg</t>
  </si>
  <si>
    <t>ase2 max</t>
  </si>
  <si>
    <t>ase2 min</t>
  </si>
  <si>
    <t>ase3-1</t>
  </si>
  <si>
    <t>ase3-2</t>
  </si>
  <si>
    <t>ase3-3</t>
  </si>
  <si>
    <t>ase3 avg</t>
  </si>
  <si>
    <t>ase3 max</t>
  </si>
  <si>
    <t>ase3 min</t>
  </si>
  <si>
    <t>ase4-1</t>
  </si>
  <si>
    <t>ase4-2</t>
  </si>
  <si>
    <t>ase4-3</t>
  </si>
  <si>
    <t>ase4 avg</t>
  </si>
  <si>
    <t>ase4 max</t>
  </si>
  <si>
    <t>ase4 min</t>
  </si>
  <si>
    <t>ale1-1</t>
  </si>
  <si>
    <t>ale1-2</t>
  </si>
  <si>
    <t>ale1-3</t>
  </si>
  <si>
    <t>ale1 avg</t>
  </si>
  <si>
    <t>ale1 max</t>
  </si>
  <si>
    <t>ale1 min</t>
  </si>
  <si>
    <t>ale2-1</t>
  </si>
  <si>
    <t>ale2-2</t>
  </si>
  <si>
    <t>ale2-3</t>
  </si>
  <si>
    <t>ale2 avg</t>
  </si>
  <si>
    <t>ale2 max</t>
  </si>
  <si>
    <t>ale2 min</t>
  </si>
  <si>
    <t>ale3-1</t>
  </si>
  <si>
    <t>ale3-2</t>
  </si>
  <si>
    <t>ale3-3</t>
  </si>
  <si>
    <t>ale3 avg</t>
  </si>
  <si>
    <t>ale3 max</t>
  </si>
  <si>
    <t>ale3 min</t>
  </si>
  <si>
    <t>ale4-1</t>
  </si>
  <si>
    <t>ale4-2</t>
  </si>
  <si>
    <t>ale4-3</t>
  </si>
  <si>
    <t>ale4 avg</t>
  </si>
  <si>
    <t>ale4 max</t>
  </si>
  <si>
    <t>ale4 min</t>
  </si>
  <si>
    <t>ald1-1</t>
  </si>
  <si>
    <t>ald1-2</t>
  </si>
  <si>
    <t>ald1-3</t>
  </si>
  <si>
    <t>ald1 avg</t>
  </si>
  <si>
    <t>ald1 max</t>
  </si>
  <si>
    <t>ald1 min</t>
  </si>
  <si>
    <t>ald2-1</t>
  </si>
  <si>
    <t>ald2-2</t>
  </si>
  <si>
    <t>ald2-3</t>
  </si>
  <si>
    <t>ald2 avg</t>
  </si>
  <si>
    <t>ald2 max</t>
  </si>
  <si>
    <t>ald2 min</t>
  </si>
  <si>
    <t>ald3-1</t>
  </si>
  <si>
    <t>ald3-2</t>
  </si>
  <si>
    <t>ald3-3</t>
  </si>
  <si>
    <t>ald3 avg</t>
  </si>
  <si>
    <t>ald3 max</t>
  </si>
  <si>
    <t>ald3 min</t>
  </si>
  <si>
    <t>ald4-1</t>
  </si>
  <si>
    <t>ald4-2</t>
  </si>
  <si>
    <t>ald4-3</t>
  </si>
  <si>
    <t>ald4 avg</t>
  </si>
  <si>
    <t>ald4 max</t>
  </si>
  <si>
    <t>ald4 min</t>
  </si>
  <si>
    <t>t8d1-1</t>
  </si>
  <si>
    <t>llama3.2:3b_q8</t>
  </si>
  <si>
    <t>t8d1-2</t>
  </si>
  <si>
    <t>t8d1-3</t>
  </si>
  <si>
    <t>t8d1 avg</t>
  </si>
  <si>
    <t>t8d1 max</t>
  </si>
  <si>
    <t>t8d1 min</t>
  </si>
  <si>
    <t>t8d2-1</t>
  </si>
  <si>
    <t>t8d2-2</t>
  </si>
  <si>
    <t>t8d2-3</t>
  </si>
  <si>
    <t>t8d2 avg</t>
  </si>
  <si>
    <t>t8d2 max</t>
  </si>
  <si>
    <t>t8d2 min</t>
  </si>
  <si>
    <t>t8d3-1</t>
  </si>
  <si>
    <t>t8d3-2</t>
  </si>
  <si>
    <t>t8d3-3</t>
  </si>
  <si>
    <t>t8d3 avg</t>
  </si>
  <si>
    <t>t8d3 max</t>
  </si>
  <si>
    <t>t8d3 min</t>
  </si>
  <si>
    <t>t8d4-1</t>
  </si>
  <si>
    <t>t8d4-2</t>
  </si>
  <si>
    <t>t8d4-3</t>
  </si>
  <si>
    <t>t8d4 avg</t>
  </si>
  <si>
    <t>t8d4 max</t>
  </si>
  <si>
    <t>t8d4 min</t>
  </si>
  <si>
    <t>llama3.2:3b_q5</t>
  </si>
  <si>
    <t>t5d1-1</t>
  </si>
  <si>
    <t>t5d1-2</t>
  </si>
  <si>
    <t>t5d1-3</t>
  </si>
  <si>
    <t>t5d1 avg</t>
  </si>
  <si>
    <t>t5d1 max</t>
  </si>
  <si>
    <t>t5d1 min</t>
  </si>
  <si>
    <t>t5d2-1</t>
  </si>
  <si>
    <t>t5d2-2</t>
  </si>
  <si>
    <t>t5d2-3</t>
  </si>
  <si>
    <t>t5d2 avg</t>
  </si>
  <si>
    <t>t5d2 max</t>
  </si>
  <si>
    <t>t5d2 min</t>
  </si>
  <si>
    <t>t5d3-1</t>
  </si>
  <si>
    <t>t5d3-2</t>
  </si>
  <si>
    <t>t5d3-3</t>
  </si>
  <si>
    <t>t5d3 avg</t>
  </si>
  <si>
    <t>t5d3 max</t>
  </si>
  <si>
    <t>t5d3 min</t>
  </si>
  <si>
    <t>t5d4-1</t>
  </si>
  <si>
    <t>t5d4-2</t>
  </si>
  <si>
    <t>t5d4-3</t>
  </si>
  <si>
    <t>t5d4 avg</t>
  </si>
  <si>
    <t>t5d4 max</t>
  </si>
  <si>
    <t>t5d4 min</t>
  </si>
  <si>
    <t>llama3.2:3b_q4</t>
  </si>
  <si>
    <t>t4d1-1</t>
  </si>
  <si>
    <t>t4d1-2</t>
  </si>
  <si>
    <t>t4d1-3</t>
  </si>
  <si>
    <t>t4d1 avg</t>
  </si>
  <si>
    <t>t4d1 max</t>
  </si>
  <si>
    <t>t4d1 min</t>
  </si>
  <si>
    <t>t4d2-1</t>
  </si>
  <si>
    <t>t4d2-2</t>
  </si>
  <si>
    <t>t4d2-3</t>
  </si>
  <si>
    <t>t4d2 avg</t>
  </si>
  <si>
    <t>t4d2 max</t>
  </si>
  <si>
    <t>t4d2 min</t>
  </si>
  <si>
    <t>t4d3-1</t>
  </si>
  <si>
    <t>t4d3-2</t>
  </si>
  <si>
    <t>t4d3-3</t>
  </si>
  <si>
    <t>t4d3 avg</t>
  </si>
  <si>
    <t>t4d3 max</t>
  </si>
  <si>
    <t>t4d3 min</t>
  </si>
  <si>
    <t>t4d4-1</t>
  </si>
  <si>
    <t>t4d4-2</t>
  </si>
  <si>
    <t>t4d4-3</t>
  </si>
  <si>
    <t>t4d4 avg</t>
  </si>
  <si>
    <t>t4d4 max</t>
  </si>
  <si>
    <t>t4d4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</si>
</sst>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164" fontId="6" fillId="0" borderId="0" xfId="0" applyNumberFormat="1" applyFont="1" applyAlignment="1">
      <alignment vertical="center"/>
    </xf>
    <xf numFmtId="164" fontId="6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thinkpad!$B$1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thinkpad!$A$2:$A$97</c:f>
              <c:strCache>
                <c:ptCount val="96"/>
                <c:pt idx="0">
                  <c:v>tsd1-1</c:v>
                </c:pt>
                <c:pt idx="1">
                  <c:v>tsd1-2</c:v>
                </c:pt>
                <c:pt idx="2">
                  <c:v>tsd1-3</c:v>
                </c:pt>
                <c:pt idx="3">
                  <c:v>tsd1 avg</c:v>
                </c:pt>
                <c:pt idx="4">
                  <c:v>tsd1 max</c:v>
                </c:pt>
                <c:pt idx="5">
                  <c:v>tsd1 min</c:v>
                </c:pt>
                <c:pt idx="6">
                  <c:v>tse1-1</c:v>
                </c:pt>
                <c:pt idx="7">
                  <c:v>tse1-2</c:v>
                </c:pt>
                <c:pt idx="8">
                  <c:v>tse1-3</c:v>
                </c:pt>
                <c:pt idx="9">
                  <c:v>tse1 avg</c:v>
                </c:pt>
                <c:pt idx="10">
                  <c:v>tse1 max</c:v>
                </c:pt>
                <c:pt idx="11">
                  <c:v>tse1 min</c:v>
                </c:pt>
                <c:pt idx="12">
                  <c:v>tsd2-1</c:v>
                </c:pt>
                <c:pt idx="13">
                  <c:v>tsd2-2</c:v>
                </c:pt>
                <c:pt idx="14">
                  <c:v>tsd2-3</c:v>
                </c:pt>
                <c:pt idx="15">
                  <c:v>tsd2 avg</c:v>
                </c:pt>
                <c:pt idx="16">
                  <c:v>tsd2 max</c:v>
                </c:pt>
                <c:pt idx="17">
                  <c:v>tsd2 min</c:v>
                </c:pt>
                <c:pt idx="18">
                  <c:v>tse2-1</c:v>
                </c:pt>
                <c:pt idx="19">
                  <c:v>tse2-2</c:v>
                </c:pt>
                <c:pt idx="20">
                  <c:v>tse2-3</c:v>
                </c:pt>
                <c:pt idx="21">
                  <c:v>tse2 avg</c:v>
                </c:pt>
                <c:pt idx="22">
                  <c:v>tse2 max</c:v>
                </c:pt>
                <c:pt idx="23">
                  <c:v>tse2 min</c:v>
                </c:pt>
                <c:pt idx="24">
                  <c:v>tsd3-1</c:v>
                </c:pt>
                <c:pt idx="25">
                  <c:v>tsd3-2</c:v>
                </c:pt>
                <c:pt idx="26">
                  <c:v>tsd3-3</c:v>
                </c:pt>
                <c:pt idx="27">
                  <c:v>tsd3 avg</c:v>
                </c:pt>
                <c:pt idx="28">
                  <c:v>tsd3 max</c:v>
                </c:pt>
                <c:pt idx="29">
                  <c:v>tsd3 min</c:v>
                </c:pt>
                <c:pt idx="30">
                  <c:v>tse3-1</c:v>
                </c:pt>
                <c:pt idx="31">
                  <c:v>tse3-2</c:v>
                </c:pt>
                <c:pt idx="32">
                  <c:v>tse3-3</c:v>
                </c:pt>
                <c:pt idx="33">
                  <c:v>tse3 avg</c:v>
                </c:pt>
                <c:pt idx="34">
                  <c:v>tse3 max</c:v>
                </c:pt>
                <c:pt idx="35">
                  <c:v>tse3 min</c:v>
                </c:pt>
                <c:pt idx="36">
                  <c:v>tsd4-1</c:v>
                </c:pt>
                <c:pt idx="37">
                  <c:v>tsd4-2</c:v>
                </c:pt>
                <c:pt idx="38">
                  <c:v>tsd4-3</c:v>
                </c:pt>
                <c:pt idx="39">
                  <c:v>tsd4 avg</c:v>
                </c:pt>
                <c:pt idx="40">
                  <c:v>tsd4 max</c:v>
                </c:pt>
                <c:pt idx="41">
                  <c:v>tsd4 min</c:v>
                </c:pt>
                <c:pt idx="42">
                  <c:v>tse4-1</c:v>
                </c:pt>
                <c:pt idx="43">
                  <c:v>tse4-2</c:v>
                </c:pt>
                <c:pt idx="44">
                  <c:v>tse4-3</c:v>
                </c:pt>
                <c:pt idx="45">
                  <c:v>tse4 avg</c:v>
                </c:pt>
                <c:pt idx="46">
                  <c:v>tse4 max</c:v>
                </c:pt>
                <c:pt idx="47">
                  <c:v>tse4 min</c:v>
                </c:pt>
                <c:pt idx="48">
                  <c:v>tld1-1</c:v>
                </c:pt>
                <c:pt idx="49">
                  <c:v>tld1-2</c:v>
                </c:pt>
                <c:pt idx="50">
                  <c:v>tld1-3</c:v>
                </c:pt>
                <c:pt idx="51">
                  <c:v>tld1 avg</c:v>
                </c:pt>
                <c:pt idx="52">
                  <c:v>tld1 max</c:v>
                </c:pt>
                <c:pt idx="53">
                  <c:v>tld1 min</c:v>
                </c:pt>
                <c:pt idx="54">
                  <c:v>tle1-1</c:v>
                </c:pt>
                <c:pt idx="55">
                  <c:v>tle1-2</c:v>
                </c:pt>
                <c:pt idx="56">
                  <c:v>tle1-3</c:v>
                </c:pt>
                <c:pt idx="57">
                  <c:v>tle1 avg</c:v>
                </c:pt>
                <c:pt idx="58">
                  <c:v>tle1 max</c:v>
                </c:pt>
                <c:pt idx="59">
                  <c:v>tle1 min</c:v>
                </c:pt>
                <c:pt idx="60">
                  <c:v>tld2-1</c:v>
                </c:pt>
                <c:pt idx="61">
                  <c:v>tld2-2</c:v>
                </c:pt>
                <c:pt idx="62">
                  <c:v>tld2-3</c:v>
                </c:pt>
                <c:pt idx="63">
                  <c:v>tld2 avg</c:v>
                </c:pt>
                <c:pt idx="64">
                  <c:v>tld2 max</c:v>
                </c:pt>
                <c:pt idx="65">
                  <c:v>tld2 min</c:v>
                </c:pt>
                <c:pt idx="66">
                  <c:v>tle2-1</c:v>
                </c:pt>
                <c:pt idx="67">
                  <c:v>tle2-2</c:v>
                </c:pt>
                <c:pt idx="68">
                  <c:v>tle2-3</c:v>
                </c:pt>
                <c:pt idx="69">
                  <c:v>tle2 avg</c:v>
                </c:pt>
                <c:pt idx="70">
                  <c:v>tle2 max</c:v>
                </c:pt>
                <c:pt idx="71">
                  <c:v>tle2 min</c:v>
                </c:pt>
                <c:pt idx="72">
                  <c:v>tld3-1</c:v>
                </c:pt>
                <c:pt idx="73">
                  <c:v>tld3-2</c:v>
                </c:pt>
                <c:pt idx="74">
                  <c:v>tld3-3</c:v>
                </c:pt>
                <c:pt idx="75">
                  <c:v>tld3 avg</c:v>
                </c:pt>
                <c:pt idx="76">
                  <c:v>tld3 max</c:v>
                </c:pt>
                <c:pt idx="77">
                  <c:v>tld3 min</c:v>
                </c:pt>
                <c:pt idx="78">
                  <c:v>tle3-1</c:v>
                </c:pt>
                <c:pt idx="79">
                  <c:v>tle3-2</c:v>
                </c:pt>
                <c:pt idx="80">
                  <c:v>tle3-3</c:v>
                </c:pt>
                <c:pt idx="81">
                  <c:v>tle3 avg</c:v>
                </c:pt>
                <c:pt idx="82">
                  <c:v>tle3 max</c:v>
                </c:pt>
                <c:pt idx="83">
                  <c:v>tle3 min</c:v>
                </c:pt>
                <c:pt idx="84">
                  <c:v>tld4-1</c:v>
                </c:pt>
                <c:pt idx="85">
                  <c:v>tld4-2</c:v>
                </c:pt>
                <c:pt idx="86">
                  <c:v>tld4-3</c:v>
                </c:pt>
                <c:pt idx="87">
                  <c:v>tld4 avg</c:v>
                </c:pt>
                <c:pt idx="88">
                  <c:v>tld4 max</c:v>
                </c:pt>
                <c:pt idx="89">
                  <c:v>tld4 min</c:v>
                </c:pt>
                <c:pt idx="90">
                  <c:v>tle4-1</c:v>
                </c:pt>
                <c:pt idx="91">
                  <c:v>tle4-2</c:v>
                </c:pt>
                <c:pt idx="92">
                  <c:v>tle4-3</c:v>
                </c:pt>
                <c:pt idx="93">
                  <c:v>tle4 avg</c:v>
                </c:pt>
                <c:pt idx="94">
                  <c:v>tle4 max</c:v>
                </c:pt>
                <c:pt idx="95">
                  <c:v>tle4 min</c:v>
                </c:pt>
              </c:strCache>
            </c:strRef>
          </c:cat>
          <c:val>
            <c:numRef>
              <c:f>thinkpad!$B$2:$B$97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C-4700-B33F-A949E2C61D31}"/>
            </c:ext>
          </c:extLst>
        </c:ser>
        <c:ser>
          <c:idx val="1"/>
          <c:order val="1"/>
          <c:tx>
            <c:strRef>
              <c:f>thinkpad!$C$1</c:f>
              <c:strCache>
                <c:ptCount val="1"/>
                <c:pt idx="0">
                  <c:v>language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thinkpad!$A$2:$A$97</c:f>
              <c:strCache>
                <c:ptCount val="96"/>
                <c:pt idx="0">
                  <c:v>tsd1-1</c:v>
                </c:pt>
                <c:pt idx="1">
                  <c:v>tsd1-2</c:v>
                </c:pt>
                <c:pt idx="2">
                  <c:v>tsd1-3</c:v>
                </c:pt>
                <c:pt idx="3">
                  <c:v>tsd1 avg</c:v>
                </c:pt>
                <c:pt idx="4">
                  <c:v>tsd1 max</c:v>
                </c:pt>
                <c:pt idx="5">
                  <c:v>tsd1 min</c:v>
                </c:pt>
                <c:pt idx="6">
                  <c:v>tse1-1</c:v>
                </c:pt>
                <c:pt idx="7">
                  <c:v>tse1-2</c:v>
                </c:pt>
                <c:pt idx="8">
                  <c:v>tse1-3</c:v>
                </c:pt>
                <c:pt idx="9">
                  <c:v>tse1 avg</c:v>
                </c:pt>
                <c:pt idx="10">
                  <c:v>tse1 max</c:v>
                </c:pt>
                <c:pt idx="11">
                  <c:v>tse1 min</c:v>
                </c:pt>
                <c:pt idx="12">
                  <c:v>tsd2-1</c:v>
                </c:pt>
                <c:pt idx="13">
                  <c:v>tsd2-2</c:v>
                </c:pt>
                <c:pt idx="14">
                  <c:v>tsd2-3</c:v>
                </c:pt>
                <c:pt idx="15">
                  <c:v>tsd2 avg</c:v>
                </c:pt>
                <c:pt idx="16">
                  <c:v>tsd2 max</c:v>
                </c:pt>
                <c:pt idx="17">
                  <c:v>tsd2 min</c:v>
                </c:pt>
                <c:pt idx="18">
                  <c:v>tse2-1</c:v>
                </c:pt>
                <c:pt idx="19">
                  <c:v>tse2-2</c:v>
                </c:pt>
                <c:pt idx="20">
                  <c:v>tse2-3</c:v>
                </c:pt>
                <c:pt idx="21">
                  <c:v>tse2 avg</c:v>
                </c:pt>
                <c:pt idx="22">
                  <c:v>tse2 max</c:v>
                </c:pt>
                <c:pt idx="23">
                  <c:v>tse2 min</c:v>
                </c:pt>
                <c:pt idx="24">
                  <c:v>tsd3-1</c:v>
                </c:pt>
                <c:pt idx="25">
                  <c:v>tsd3-2</c:v>
                </c:pt>
                <c:pt idx="26">
                  <c:v>tsd3-3</c:v>
                </c:pt>
                <c:pt idx="27">
                  <c:v>tsd3 avg</c:v>
                </c:pt>
                <c:pt idx="28">
                  <c:v>tsd3 max</c:v>
                </c:pt>
                <c:pt idx="29">
                  <c:v>tsd3 min</c:v>
                </c:pt>
                <c:pt idx="30">
                  <c:v>tse3-1</c:v>
                </c:pt>
                <c:pt idx="31">
                  <c:v>tse3-2</c:v>
                </c:pt>
                <c:pt idx="32">
                  <c:v>tse3-3</c:v>
                </c:pt>
                <c:pt idx="33">
                  <c:v>tse3 avg</c:v>
                </c:pt>
                <c:pt idx="34">
                  <c:v>tse3 max</c:v>
                </c:pt>
                <c:pt idx="35">
                  <c:v>tse3 min</c:v>
                </c:pt>
                <c:pt idx="36">
                  <c:v>tsd4-1</c:v>
                </c:pt>
                <c:pt idx="37">
                  <c:v>tsd4-2</c:v>
                </c:pt>
                <c:pt idx="38">
                  <c:v>tsd4-3</c:v>
                </c:pt>
                <c:pt idx="39">
                  <c:v>tsd4 avg</c:v>
                </c:pt>
                <c:pt idx="40">
                  <c:v>tsd4 max</c:v>
                </c:pt>
                <c:pt idx="41">
                  <c:v>tsd4 min</c:v>
                </c:pt>
                <c:pt idx="42">
                  <c:v>tse4-1</c:v>
                </c:pt>
                <c:pt idx="43">
                  <c:v>tse4-2</c:v>
                </c:pt>
                <c:pt idx="44">
                  <c:v>tse4-3</c:v>
                </c:pt>
                <c:pt idx="45">
                  <c:v>tse4 avg</c:v>
                </c:pt>
                <c:pt idx="46">
                  <c:v>tse4 max</c:v>
                </c:pt>
                <c:pt idx="47">
                  <c:v>tse4 min</c:v>
                </c:pt>
                <c:pt idx="48">
                  <c:v>tld1-1</c:v>
                </c:pt>
                <c:pt idx="49">
                  <c:v>tld1-2</c:v>
                </c:pt>
                <c:pt idx="50">
                  <c:v>tld1-3</c:v>
                </c:pt>
                <c:pt idx="51">
                  <c:v>tld1 avg</c:v>
                </c:pt>
                <c:pt idx="52">
                  <c:v>tld1 max</c:v>
                </c:pt>
                <c:pt idx="53">
                  <c:v>tld1 min</c:v>
                </c:pt>
                <c:pt idx="54">
                  <c:v>tle1-1</c:v>
                </c:pt>
                <c:pt idx="55">
                  <c:v>tle1-2</c:v>
                </c:pt>
                <c:pt idx="56">
                  <c:v>tle1-3</c:v>
                </c:pt>
                <c:pt idx="57">
                  <c:v>tle1 avg</c:v>
                </c:pt>
                <c:pt idx="58">
                  <c:v>tle1 max</c:v>
                </c:pt>
                <c:pt idx="59">
                  <c:v>tle1 min</c:v>
                </c:pt>
                <c:pt idx="60">
                  <c:v>tld2-1</c:v>
                </c:pt>
                <c:pt idx="61">
                  <c:v>tld2-2</c:v>
                </c:pt>
                <c:pt idx="62">
                  <c:v>tld2-3</c:v>
                </c:pt>
                <c:pt idx="63">
                  <c:v>tld2 avg</c:v>
                </c:pt>
                <c:pt idx="64">
                  <c:v>tld2 max</c:v>
                </c:pt>
                <c:pt idx="65">
                  <c:v>tld2 min</c:v>
                </c:pt>
                <c:pt idx="66">
                  <c:v>tle2-1</c:v>
                </c:pt>
                <c:pt idx="67">
                  <c:v>tle2-2</c:v>
                </c:pt>
                <c:pt idx="68">
                  <c:v>tle2-3</c:v>
                </c:pt>
                <c:pt idx="69">
                  <c:v>tle2 avg</c:v>
                </c:pt>
                <c:pt idx="70">
                  <c:v>tle2 max</c:v>
                </c:pt>
                <c:pt idx="71">
                  <c:v>tle2 min</c:v>
                </c:pt>
                <c:pt idx="72">
                  <c:v>tld3-1</c:v>
                </c:pt>
                <c:pt idx="73">
                  <c:v>tld3-2</c:v>
                </c:pt>
                <c:pt idx="74">
                  <c:v>tld3-3</c:v>
                </c:pt>
                <c:pt idx="75">
                  <c:v>tld3 avg</c:v>
                </c:pt>
                <c:pt idx="76">
                  <c:v>tld3 max</c:v>
                </c:pt>
                <c:pt idx="77">
                  <c:v>tld3 min</c:v>
                </c:pt>
                <c:pt idx="78">
                  <c:v>tle3-1</c:v>
                </c:pt>
                <c:pt idx="79">
                  <c:v>tle3-2</c:v>
                </c:pt>
                <c:pt idx="80">
                  <c:v>tle3-3</c:v>
                </c:pt>
                <c:pt idx="81">
                  <c:v>tle3 avg</c:v>
                </c:pt>
                <c:pt idx="82">
                  <c:v>tle3 max</c:v>
                </c:pt>
                <c:pt idx="83">
                  <c:v>tle3 min</c:v>
                </c:pt>
                <c:pt idx="84">
                  <c:v>tld4-1</c:v>
                </c:pt>
                <c:pt idx="85">
                  <c:v>tld4-2</c:v>
                </c:pt>
                <c:pt idx="86">
                  <c:v>tld4-3</c:v>
                </c:pt>
                <c:pt idx="87">
                  <c:v>tld4 avg</c:v>
                </c:pt>
                <c:pt idx="88">
                  <c:v>tld4 max</c:v>
                </c:pt>
                <c:pt idx="89">
                  <c:v>tld4 min</c:v>
                </c:pt>
                <c:pt idx="90">
                  <c:v>tle4-1</c:v>
                </c:pt>
                <c:pt idx="91">
                  <c:v>tle4-2</c:v>
                </c:pt>
                <c:pt idx="92">
                  <c:v>tle4-3</c:v>
                </c:pt>
                <c:pt idx="93">
                  <c:v>tle4 avg</c:v>
                </c:pt>
                <c:pt idx="94">
                  <c:v>tle4 max</c:v>
                </c:pt>
                <c:pt idx="95">
                  <c:v>tle4 min</c:v>
                </c:pt>
              </c:strCache>
            </c:strRef>
          </c:cat>
          <c:val>
            <c:numRef>
              <c:f>thinkpad!$C$2:$C$97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C-4700-B33F-A949E2C61D31}"/>
            </c:ext>
          </c:extLst>
        </c:ser>
        <c:ser>
          <c:idx val="2"/>
          <c:order val="2"/>
          <c:tx>
            <c:strRef>
              <c:f>thinkpad!$D$1</c:f>
              <c:strCache>
                <c:ptCount val="1"/>
                <c:pt idx="0">
                  <c:v>question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thinkpad!$A$2:$A$97</c:f>
              <c:strCache>
                <c:ptCount val="96"/>
                <c:pt idx="0">
                  <c:v>tsd1-1</c:v>
                </c:pt>
                <c:pt idx="1">
                  <c:v>tsd1-2</c:v>
                </c:pt>
                <c:pt idx="2">
                  <c:v>tsd1-3</c:v>
                </c:pt>
                <c:pt idx="3">
                  <c:v>tsd1 avg</c:v>
                </c:pt>
                <c:pt idx="4">
                  <c:v>tsd1 max</c:v>
                </c:pt>
                <c:pt idx="5">
                  <c:v>tsd1 min</c:v>
                </c:pt>
                <c:pt idx="6">
                  <c:v>tse1-1</c:v>
                </c:pt>
                <c:pt idx="7">
                  <c:v>tse1-2</c:v>
                </c:pt>
                <c:pt idx="8">
                  <c:v>tse1-3</c:v>
                </c:pt>
                <c:pt idx="9">
                  <c:v>tse1 avg</c:v>
                </c:pt>
                <c:pt idx="10">
                  <c:v>tse1 max</c:v>
                </c:pt>
                <c:pt idx="11">
                  <c:v>tse1 min</c:v>
                </c:pt>
                <c:pt idx="12">
                  <c:v>tsd2-1</c:v>
                </c:pt>
                <c:pt idx="13">
                  <c:v>tsd2-2</c:v>
                </c:pt>
                <c:pt idx="14">
                  <c:v>tsd2-3</c:v>
                </c:pt>
                <c:pt idx="15">
                  <c:v>tsd2 avg</c:v>
                </c:pt>
                <c:pt idx="16">
                  <c:v>tsd2 max</c:v>
                </c:pt>
                <c:pt idx="17">
                  <c:v>tsd2 min</c:v>
                </c:pt>
                <c:pt idx="18">
                  <c:v>tse2-1</c:v>
                </c:pt>
                <c:pt idx="19">
                  <c:v>tse2-2</c:v>
                </c:pt>
                <c:pt idx="20">
                  <c:v>tse2-3</c:v>
                </c:pt>
                <c:pt idx="21">
                  <c:v>tse2 avg</c:v>
                </c:pt>
                <c:pt idx="22">
                  <c:v>tse2 max</c:v>
                </c:pt>
                <c:pt idx="23">
                  <c:v>tse2 min</c:v>
                </c:pt>
                <c:pt idx="24">
                  <c:v>tsd3-1</c:v>
                </c:pt>
                <c:pt idx="25">
                  <c:v>tsd3-2</c:v>
                </c:pt>
                <c:pt idx="26">
                  <c:v>tsd3-3</c:v>
                </c:pt>
                <c:pt idx="27">
                  <c:v>tsd3 avg</c:v>
                </c:pt>
                <c:pt idx="28">
                  <c:v>tsd3 max</c:v>
                </c:pt>
                <c:pt idx="29">
                  <c:v>tsd3 min</c:v>
                </c:pt>
                <c:pt idx="30">
                  <c:v>tse3-1</c:v>
                </c:pt>
                <c:pt idx="31">
                  <c:v>tse3-2</c:v>
                </c:pt>
                <c:pt idx="32">
                  <c:v>tse3-3</c:v>
                </c:pt>
                <c:pt idx="33">
                  <c:v>tse3 avg</c:v>
                </c:pt>
                <c:pt idx="34">
                  <c:v>tse3 max</c:v>
                </c:pt>
                <c:pt idx="35">
                  <c:v>tse3 min</c:v>
                </c:pt>
                <c:pt idx="36">
                  <c:v>tsd4-1</c:v>
                </c:pt>
                <c:pt idx="37">
                  <c:v>tsd4-2</c:v>
                </c:pt>
                <c:pt idx="38">
                  <c:v>tsd4-3</c:v>
                </c:pt>
                <c:pt idx="39">
                  <c:v>tsd4 avg</c:v>
                </c:pt>
                <c:pt idx="40">
                  <c:v>tsd4 max</c:v>
                </c:pt>
                <c:pt idx="41">
                  <c:v>tsd4 min</c:v>
                </c:pt>
                <c:pt idx="42">
                  <c:v>tse4-1</c:v>
                </c:pt>
                <c:pt idx="43">
                  <c:v>tse4-2</c:v>
                </c:pt>
                <c:pt idx="44">
                  <c:v>tse4-3</c:v>
                </c:pt>
                <c:pt idx="45">
                  <c:v>tse4 avg</c:v>
                </c:pt>
                <c:pt idx="46">
                  <c:v>tse4 max</c:v>
                </c:pt>
                <c:pt idx="47">
                  <c:v>tse4 min</c:v>
                </c:pt>
                <c:pt idx="48">
                  <c:v>tld1-1</c:v>
                </c:pt>
                <c:pt idx="49">
                  <c:v>tld1-2</c:v>
                </c:pt>
                <c:pt idx="50">
                  <c:v>tld1-3</c:v>
                </c:pt>
                <c:pt idx="51">
                  <c:v>tld1 avg</c:v>
                </c:pt>
                <c:pt idx="52">
                  <c:v>tld1 max</c:v>
                </c:pt>
                <c:pt idx="53">
                  <c:v>tld1 min</c:v>
                </c:pt>
                <c:pt idx="54">
                  <c:v>tle1-1</c:v>
                </c:pt>
                <c:pt idx="55">
                  <c:v>tle1-2</c:v>
                </c:pt>
                <c:pt idx="56">
                  <c:v>tle1-3</c:v>
                </c:pt>
                <c:pt idx="57">
                  <c:v>tle1 avg</c:v>
                </c:pt>
                <c:pt idx="58">
                  <c:v>tle1 max</c:v>
                </c:pt>
                <c:pt idx="59">
                  <c:v>tle1 min</c:v>
                </c:pt>
                <c:pt idx="60">
                  <c:v>tld2-1</c:v>
                </c:pt>
                <c:pt idx="61">
                  <c:v>tld2-2</c:v>
                </c:pt>
                <c:pt idx="62">
                  <c:v>tld2-3</c:v>
                </c:pt>
                <c:pt idx="63">
                  <c:v>tld2 avg</c:v>
                </c:pt>
                <c:pt idx="64">
                  <c:v>tld2 max</c:v>
                </c:pt>
                <c:pt idx="65">
                  <c:v>tld2 min</c:v>
                </c:pt>
                <c:pt idx="66">
                  <c:v>tle2-1</c:v>
                </c:pt>
                <c:pt idx="67">
                  <c:v>tle2-2</c:v>
                </c:pt>
                <c:pt idx="68">
                  <c:v>tle2-3</c:v>
                </c:pt>
                <c:pt idx="69">
                  <c:v>tle2 avg</c:v>
                </c:pt>
                <c:pt idx="70">
                  <c:v>tle2 max</c:v>
                </c:pt>
                <c:pt idx="71">
                  <c:v>tle2 min</c:v>
                </c:pt>
                <c:pt idx="72">
                  <c:v>tld3-1</c:v>
                </c:pt>
                <c:pt idx="73">
                  <c:v>tld3-2</c:v>
                </c:pt>
                <c:pt idx="74">
                  <c:v>tld3-3</c:v>
                </c:pt>
                <c:pt idx="75">
                  <c:v>tld3 avg</c:v>
                </c:pt>
                <c:pt idx="76">
                  <c:v>tld3 max</c:v>
                </c:pt>
                <c:pt idx="77">
                  <c:v>tld3 min</c:v>
                </c:pt>
                <c:pt idx="78">
                  <c:v>tle3-1</c:v>
                </c:pt>
                <c:pt idx="79">
                  <c:v>tle3-2</c:v>
                </c:pt>
                <c:pt idx="80">
                  <c:v>tle3-3</c:v>
                </c:pt>
                <c:pt idx="81">
                  <c:v>tle3 avg</c:v>
                </c:pt>
                <c:pt idx="82">
                  <c:v>tle3 max</c:v>
                </c:pt>
                <c:pt idx="83">
                  <c:v>tle3 min</c:v>
                </c:pt>
                <c:pt idx="84">
                  <c:v>tld4-1</c:v>
                </c:pt>
                <c:pt idx="85">
                  <c:v>tld4-2</c:v>
                </c:pt>
                <c:pt idx="86">
                  <c:v>tld4-3</c:v>
                </c:pt>
                <c:pt idx="87">
                  <c:v>tld4 avg</c:v>
                </c:pt>
                <c:pt idx="88">
                  <c:v>tld4 max</c:v>
                </c:pt>
                <c:pt idx="89">
                  <c:v>tld4 min</c:v>
                </c:pt>
                <c:pt idx="90">
                  <c:v>tle4-1</c:v>
                </c:pt>
                <c:pt idx="91">
                  <c:v>tle4-2</c:v>
                </c:pt>
                <c:pt idx="92">
                  <c:v>tle4-3</c:v>
                </c:pt>
                <c:pt idx="93">
                  <c:v>tle4 avg</c:v>
                </c:pt>
                <c:pt idx="94">
                  <c:v>tle4 max</c:v>
                </c:pt>
                <c:pt idx="95">
                  <c:v>tle4 min</c:v>
                </c:pt>
              </c:strCache>
            </c:strRef>
          </c:cat>
          <c:val>
            <c:numRef>
              <c:f>thinkpad!$D$2:$D$97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FC-4700-B33F-A949E2C61D31}"/>
            </c:ext>
          </c:extLst>
        </c:ser>
        <c:ser>
          <c:idx val="3"/>
          <c:order val="3"/>
          <c:tx>
            <c:strRef>
              <c:f>thinkpad!$E$1</c:f>
              <c:strCache>
                <c:ptCount val="1"/>
                <c:pt idx="0">
                  <c:v>trans 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thinkpad!$A$2:$A$97</c:f>
              <c:strCache>
                <c:ptCount val="96"/>
                <c:pt idx="0">
                  <c:v>tsd1-1</c:v>
                </c:pt>
                <c:pt idx="1">
                  <c:v>tsd1-2</c:v>
                </c:pt>
                <c:pt idx="2">
                  <c:v>tsd1-3</c:v>
                </c:pt>
                <c:pt idx="3">
                  <c:v>tsd1 avg</c:v>
                </c:pt>
                <c:pt idx="4">
                  <c:v>tsd1 max</c:v>
                </c:pt>
                <c:pt idx="5">
                  <c:v>tsd1 min</c:v>
                </c:pt>
                <c:pt idx="6">
                  <c:v>tse1-1</c:v>
                </c:pt>
                <c:pt idx="7">
                  <c:v>tse1-2</c:v>
                </c:pt>
                <c:pt idx="8">
                  <c:v>tse1-3</c:v>
                </c:pt>
                <c:pt idx="9">
                  <c:v>tse1 avg</c:v>
                </c:pt>
                <c:pt idx="10">
                  <c:v>tse1 max</c:v>
                </c:pt>
                <c:pt idx="11">
                  <c:v>tse1 min</c:v>
                </c:pt>
                <c:pt idx="12">
                  <c:v>tsd2-1</c:v>
                </c:pt>
                <c:pt idx="13">
                  <c:v>tsd2-2</c:v>
                </c:pt>
                <c:pt idx="14">
                  <c:v>tsd2-3</c:v>
                </c:pt>
                <c:pt idx="15">
                  <c:v>tsd2 avg</c:v>
                </c:pt>
                <c:pt idx="16">
                  <c:v>tsd2 max</c:v>
                </c:pt>
                <c:pt idx="17">
                  <c:v>tsd2 min</c:v>
                </c:pt>
                <c:pt idx="18">
                  <c:v>tse2-1</c:v>
                </c:pt>
                <c:pt idx="19">
                  <c:v>tse2-2</c:v>
                </c:pt>
                <c:pt idx="20">
                  <c:v>tse2-3</c:v>
                </c:pt>
                <c:pt idx="21">
                  <c:v>tse2 avg</c:v>
                </c:pt>
                <c:pt idx="22">
                  <c:v>tse2 max</c:v>
                </c:pt>
                <c:pt idx="23">
                  <c:v>tse2 min</c:v>
                </c:pt>
                <c:pt idx="24">
                  <c:v>tsd3-1</c:v>
                </c:pt>
                <c:pt idx="25">
                  <c:v>tsd3-2</c:v>
                </c:pt>
                <c:pt idx="26">
                  <c:v>tsd3-3</c:v>
                </c:pt>
                <c:pt idx="27">
                  <c:v>tsd3 avg</c:v>
                </c:pt>
                <c:pt idx="28">
                  <c:v>tsd3 max</c:v>
                </c:pt>
                <c:pt idx="29">
                  <c:v>tsd3 min</c:v>
                </c:pt>
                <c:pt idx="30">
                  <c:v>tse3-1</c:v>
                </c:pt>
                <c:pt idx="31">
                  <c:v>tse3-2</c:v>
                </c:pt>
                <c:pt idx="32">
                  <c:v>tse3-3</c:v>
                </c:pt>
                <c:pt idx="33">
                  <c:v>tse3 avg</c:v>
                </c:pt>
                <c:pt idx="34">
                  <c:v>tse3 max</c:v>
                </c:pt>
                <c:pt idx="35">
                  <c:v>tse3 min</c:v>
                </c:pt>
                <c:pt idx="36">
                  <c:v>tsd4-1</c:v>
                </c:pt>
                <c:pt idx="37">
                  <c:v>tsd4-2</c:v>
                </c:pt>
                <c:pt idx="38">
                  <c:v>tsd4-3</c:v>
                </c:pt>
                <c:pt idx="39">
                  <c:v>tsd4 avg</c:v>
                </c:pt>
                <c:pt idx="40">
                  <c:v>tsd4 max</c:v>
                </c:pt>
                <c:pt idx="41">
                  <c:v>tsd4 min</c:v>
                </c:pt>
                <c:pt idx="42">
                  <c:v>tse4-1</c:v>
                </c:pt>
                <c:pt idx="43">
                  <c:v>tse4-2</c:v>
                </c:pt>
                <c:pt idx="44">
                  <c:v>tse4-3</c:v>
                </c:pt>
                <c:pt idx="45">
                  <c:v>tse4 avg</c:v>
                </c:pt>
                <c:pt idx="46">
                  <c:v>tse4 max</c:v>
                </c:pt>
                <c:pt idx="47">
                  <c:v>tse4 min</c:v>
                </c:pt>
                <c:pt idx="48">
                  <c:v>tld1-1</c:v>
                </c:pt>
                <c:pt idx="49">
                  <c:v>tld1-2</c:v>
                </c:pt>
                <c:pt idx="50">
                  <c:v>tld1-3</c:v>
                </c:pt>
                <c:pt idx="51">
                  <c:v>tld1 avg</c:v>
                </c:pt>
                <c:pt idx="52">
                  <c:v>tld1 max</c:v>
                </c:pt>
                <c:pt idx="53">
                  <c:v>tld1 min</c:v>
                </c:pt>
                <c:pt idx="54">
                  <c:v>tle1-1</c:v>
                </c:pt>
                <c:pt idx="55">
                  <c:v>tle1-2</c:v>
                </c:pt>
                <c:pt idx="56">
                  <c:v>tle1-3</c:v>
                </c:pt>
                <c:pt idx="57">
                  <c:v>tle1 avg</c:v>
                </c:pt>
                <c:pt idx="58">
                  <c:v>tle1 max</c:v>
                </c:pt>
                <c:pt idx="59">
                  <c:v>tle1 min</c:v>
                </c:pt>
                <c:pt idx="60">
                  <c:v>tld2-1</c:v>
                </c:pt>
                <c:pt idx="61">
                  <c:v>tld2-2</c:v>
                </c:pt>
                <c:pt idx="62">
                  <c:v>tld2-3</c:v>
                </c:pt>
                <c:pt idx="63">
                  <c:v>tld2 avg</c:v>
                </c:pt>
                <c:pt idx="64">
                  <c:v>tld2 max</c:v>
                </c:pt>
                <c:pt idx="65">
                  <c:v>tld2 min</c:v>
                </c:pt>
                <c:pt idx="66">
                  <c:v>tle2-1</c:v>
                </c:pt>
                <c:pt idx="67">
                  <c:v>tle2-2</c:v>
                </c:pt>
                <c:pt idx="68">
                  <c:v>tle2-3</c:v>
                </c:pt>
                <c:pt idx="69">
                  <c:v>tle2 avg</c:v>
                </c:pt>
                <c:pt idx="70">
                  <c:v>tle2 max</c:v>
                </c:pt>
                <c:pt idx="71">
                  <c:v>tle2 min</c:v>
                </c:pt>
                <c:pt idx="72">
                  <c:v>tld3-1</c:v>
                </c:pt>
                <c:pt idx="73">
                  <c:v>tld3-2</c:v>
                </c:pt>
                <c:pt idx="74">
                  <c:v>tld3-3</c:v>
                </c:pt>
                <c:pt idx="75">
                  <c:v>tld3 avg</c:v>
                </c:pt>
                <c:pt idx="76">
                  <c:v>tld3 max</c:v>
                </c:pt>
                <c:pt idx="77">
                  <c:v>tld3 min</c:v>
                </c:pt>
                <c:pt idx="78">
                  <c:v>tle3-1</c:v>
                </c:pt>
                <c:pt idx="79">
                  <c:v>tle3-2</c:v>
                </c:pt>
                <c:pt idx="80">
                  <c:v>tle3-3</c:v>
                </c:pt>
                <c:pt idx="81">
                  <c:v>tle3 avg</c:v>
                </c:pt>
                <c:pt idx="82">
                  <c:v>tle3 max</c:v>
                </c:pt>
                <c:pt idx="83">
                  <c:v>tle3 min</c:v>
                </c:pt>
                <c:pt idx="84">
                  <c:v>tld4-1</c:v>
                </c:pt>
                <c:pt idx="85">
                  <c:v>tld4-2</c:v>
                </c:pt>
                <c:pt idx="86">
                  <c:v>tld4-3</c:v>
                </c:pt>
                <c:pt idx="87">
                  <c:v>tld4 avg</c:v>
                </c:pt>
                <c:pt idx="88">
                  <c:v>tld4 max</c:v>
                </c:pt>
                <c:pt idx="89">
                  <c:v>tld4 min</c:v>
                </c:pt>
                <c:pt idx="90">
                  <c:v>tle4-1</c:v>
                </c:pt>
                <c:pt idx="91">
                  <c:v>tle4-2</c:v>
                </c:pt>
                <c:pt idx="92">
                  <c:v>tle4-3</c:v>
                </c:pt>
                <c:pt idx="93">
                  <c:v>tle4 avg</c:v>
                </c:pt>
                <c:pt idx="94">
                  <c:v>tle4 max</c:v>
                </c:pt>
                <c:pt idx="95">
                  <c:v>tle4 min</c:v>
                </c:pt>
              </c:strCache>
            </c:strRef>
          </c:cat>
          <c:val>
            <c:numRef>
              <c:f>thinkpad!$E$2:$E$97</c:f>
              <c:numCache>
                <c:formatCode>0.000</c:formatCode>
                <c:ptCount val="96"/>
                <c:pt idx="0">
                  <c:v>2.3547850000000001</c:v>
                </c:pt>
                <c:pt idx="1">
                  <c:v>1.8784069999999999</c:v>
                </c:pt>
                <c:pt idx="2">
                  <c:v>2.2079689999999998</c:v>
                </c:pt>
                <c:pt idx="3">
                  <c:v>2.1470536666666664</c:v>
                </c:pt>
                <c:pt idx="4">
                  <c:v>2.3547850000000001</c:v>
                </c:pt>
                <c:pt idx="5">
                  <c:v>1.8784069999999999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2.1159409999999998</c:v>
                </c:pt>
                <c:pt idx="13">
                  <c:v>2.1966950000000001</c:v>
                </c:pt>
                <c:pt idx="14">
                  <c:v>2.3871380000000002</c:v>
                </c:pt>
                <c:pt idx="15">
                  <c:v>2.2332579999999997</c:v>
                </c:pt>
                <c:pt idx="16">
                  <c:v>2.3871380000000002</c:v>
                </c:pt>
                <c:pt idx="17">
                  <c:v>2.1159409999999998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1.7868299999999999</c:v>
                </c:pt>
                <c:pt idx="25">
                  <c:v>1.6840949999999999</c:v>
                </c:pt>
                <c:pt idx="26">
                  <c:v>1.7918700000000001</c:v>
                </c:pt>
                <c:pt idx="27">
                  <c:v>1.754265</c:v>
                </c:pt>
                <c:pt idx="28">
                  <c:v>1.7918700000000001</c:v>
                </c:pt>
                <c:pt idx="29">
                  <c:v>1.6840949999999999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1.8760129999999999</c:v>
                </c:pt>
                <c:pt idx="37">
                  <c:v>1.9725839999999999</c:v>
                </c:pt>
                <c:pt idx="38">
                  <c:v>1.960305</c:v>
                </c:pt>
                <c:pt idx="39">
                  <c:v>1.9363006666666667</c:v>
                </c:pt>
                <c:pt idx="40">
                  <c:v>1.9725839999999999</c:v>
                </c:pt>
                <c:pt idx="41">
                  <c:v>1.8760129999999999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1.795234</c:v>
                </c:pt>
                <c:pt idx="49">
                  <c:v>1.809466</c:v>
                </c:pt>
                <c:pt idx="50">
                  <c:v>1.805253</c:v>
                </c:pt>
                <c:pt idx="51">
                  <c:v>1.8033176666666666</c:v>
                </c:pt>
                <c:pt idx="52">
                  <c:v>1.809466</c:v>
                </c:pt>
                <c:pt idx="53">
                  <c:v>1.795234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1.9739709999999999</c:v>
                </c:pt>
                <c:pt idx="61">
                  <c:v>1.9875069999999999</c:v>
                </c:pt>
                <c:pt idx="62">
                  <c:v>2.105553</c:v>
                </c:pt>
                <c:pt idx="63">
                  <c:v>2.0223436666666665</c:v>
                </c:pt>
                <c:pt idx="64">
                  <c:v>2.105553</c:v>
                </c:pt>
                <c:pt idx="65">
                  <c:v>1.9739709999999999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1.5894470000000001</c:v>
                </c:pt>
                <c:pt idx="73">
                  <c:v>1.9888859999999999</c:v>
                </c:pt>
                <c:pt idx="74">
                  <c:v>1.9857290000000001</c:v>
                </c:pt>
                <c:pt idx="75">
                  <c:v>1.8546873333333334</c:v>
                </c:pt>
                <c:pt idx="76">
                  <c:v>1.9888859999999999</c:v>
                </c:pt>
                <c:pt idx="77">
                  <c:v>1.5894470000000001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1.924625</c:v>
                </c:pt>
                <c:pt idx="85">
                  <c:v>2.3155670000000002</c:v>
                </c:pt>
                <c:pt idx="86">
                  <c:v>1.8466530000000001</c:v>
                </c:pt>
                <c:pt idx="87">
                  <c:v>2.0289483333333336</c:v>
                </c:pt>
                <c:pt idx="88">
                  <c:v>2.3155670000000002</c:v>
                </c:pt>
                <c:pt idx="89">
                  <c:v>1.8466530000000001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FC-4700-B33F-A949E2C61D31}"/>
            </c:ext>
          </c:extLst>
        </c:ser>
        <c:ser>
          <c:idx val="4"/>
          <c:order val="4"/>
          <c:tx>
            <c:strRef>
              <c:f>thinkpad!$F$1</c:f>
              <c:strCache>
                <c:ptCount val="1"/>
                <c:pt idx="0">
                  <c:v>retrieve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thinkpad!$A$2:$A$97</c:f>
              <c:strCache>
                <c:ptCount val="96"/>
                <c:pt idx="0">
                  <c:v>tsd1-1</c:v>
                </c:pt>
                <c:pt idx="1">
                  <c:v>tsd1-2</c:v>
                </c:pt>
                <c:pt idx="2">
                  <c:v>tsd1-3</c:v>
                </c:pt>
                <c:pt idx="3">
                  <c:v>tsd1 avg</c:v>
                </c:pt>
                <c:pt idx="4">
                  <c:v>tsd1 max</c:v>
                </c:pt>
                <c:pt idx="5">
                  <c:v>tsd1 min</c:v>
                </c:pt>
                <c:pt idx="6">
                  <c:v>tse1-1</c:v>
                </c:pt>
                <c:pt idx="7">
                  <c:v>tse1-2</c:v>
                </c:pt>
                <c:pt idx="8">
                  <c:v>tse1-3</c:v>
                </c:pt>
                <c:pt idx="9">
                  <c:v>tse1 avg</c:v>
                </c:pt>
                <c:pt idx="10">
                  <c:v>tse1 max</c:v>
                </c:pt>
                <c:pt idx="11">
                  <c:v>tse1 min</c:v>
                </c:pt>
                <c:pt idx="12">
                  <c:v>tsd2-1</c:v>
                </c:pt>
                <c:pt idx="13">
                  <c:v>tsd2-2</c:v>
                </c:pt>
                <c:pt idx="14">
                  <c:v>tsd2-3</c:v>
                </c:pt>
                <c:pt idx="15">
                  <c:v>tsd2 avg</c:v>
                </c:pt>
                <c:pt idx="16">
                  <c:v>tsd2 max</c:v>
                </c:pt>
                <c:pt idx="17">
                  <c:v>tsd2 min</c:v>
                </c:pt>
                <c:pt idx="18">
                  <c:v>tse2-1</c:v>
                </c:pt>
                <c:pt idx="19">
                  <c:v>tse2-2</c:v>
                </c:pt>
                <c:pt idx="20">
                  <c:v>tse2-3</c:v>
                </c:pt>
                <c:pt idx="21">
                  <c:v>tse2 avg</c:v>
                </c:pt>
                <c:pt idx="22">
                  <c:v>tse2 max</c:v>
                </c:pt>
                <c:pt idx="23">
                  <c:v>tse2 min</c:v>
                </c:pt>
                <c:pt idx="24">
                  <c:v>tsd3-1</c:v>
                </c:pt>
                <c:pt idx="25">
                  <c:v>tsd3-2</c:v>
                </c:pt>
                <c:pt idx="26">
                  <c:v>tsd3-3</c:v>
                </c:pt>
                <c:pt idx="27">
                  <c:v>tsd3 avg</c:v>
                </c:pt>
                <c:pt idx="28">
                  <c:v>tsd3 max</c:v>
                </c:pt>
                <c:pt idx="29">
                  <c:v>tsd3 min</c:v>
                </c:pt>
                <c:pt idx="30">
                  <c:v>tse3-1</c:v>
                </c:pt>
                <c:pt idx="31">
                  <c:v>tse3-2</c:v>
                </c:pt>
                <c:pt idx="32">
                  <c:v>tse3-3</c:v>
                </c:pt>
                <c:pt idx="33">
                  <c:v>tse3 avg</c:v>
                </c:pt>
                <c:pt idx="34">
                  <c:v>tse3 max</c:v>
                </c:pt>
                <c:pt idx="35">
                  <c:v>tse3 min</c:v>
                </c:pt>
                <c:pt idx="36">
                  <c:v>tsd4-1</c:v>
                </c:pt>
                <c:pt idx="37">
                  <c:v>tsd4-2</c:v>
                </c:pt>
                <c:pt idx="38">
                  <c:v>tsd4-3</c:v>
                </c:pt>
                <c:pt idx="39">
                  <c:v>tsd4 avg</c:v>
                </c:pt>
                <c:pt idx="40">
                  <c:v>tsd4 max</c:v>
                </c:pt>
                <c:pt idx="41">
                  <c:v>tsd4 min</c:v>
                </c:pt>
                <c:pt idx="42">
                  <c:v>tse4-1</c:v>
                </c:pt>
                <c:pt idx="43">
                  <c:v>tse4-2</c:v>
                </c:pt>
                <c:pt idx="44">
                  <c:v>tse4-3</c:v>
                </c:pt>
                <c:pt idx="45">
                  <c:v>tse4 avg</c:v>
                </c:pt>
                <c:pt idx="46">
                  <c:v>tse4 max</c:v>
                </c:pt>
                <c:pt idx="47">
                  <c:v>tse4 min</c:v>
                </c:pt>
                <c:pt idx="48">
                  <c:v>tld1-1</c:v>
                </c:pt>
                <c:pt idx="49">
                  <c:v>tld1-2</c:v>
                </c:pt>
                <c:pt idx="50">
                  <c:v>tld1-3</c:v>
                </c:pt>
                <c:pt idx="51">
                  <c:v>tld1 avg</c:v>
                </c:pt>
                <c:pt idx="52">
                  <c:v>tld1 max</c:v>
                </c:pt>
                <c:pt idx="53">
                  <c:v>tld1 min</c:v>
                </c:pt>
                <c:pt idx="54">
                  <c:v>tle1-1</c:v>
                </c:pt>
                <c:pt idx="55">
                  <c:v>tle1-2</c:v>
                </c:pt>
                <c:pt idx="56">
                  <c:v>tle1-3</c:v>
                </c:pt>
                <c:pt idx="57">
                  <c:v>tle1 avg</c:v>
                </c:pt>
                <c:pt idx="58">
                  <c:v>tle1 max</c:v>
                </c:pt>
                <c:pt idx="59">
                  <c:v>tle1 min</c:v>
                </c:pt>
                <c:pt idx="60">
                  <c:v>tld2-1</c:v>
                </c:pt>
                <c:pt idx="61">
                  <c:v>tld2-2</c:v>
                </c:pt>
                <c:pt idx="62">
                  <c:v>tld2-3</c:v>
                </c:pt>
                <c:pt idx="63">
                  <c:v>tld2 avg</c:v>
                </c:pt>
                <c:pt idx="64">
                  <c:v>tld2 max</c:v>
                </c:pt>
                <c:pt idx="65">
                  <c:v>tld2 min</c:v>
                </c:pt>
                <c:pt idx="66">
                  <c:v>tle2-1</c:v>
                </c:pt>
                <c:pt idx="67">
                  <c:v>tle2-2</c:v>
                </c:pt>
                <c:pt idx="68">
                  <c:v>tle2-3</c:v>
                </c:pt>
                <c:pt idx="69">
                  <c:v>tle2 avg</c:v>
                </c:pt>
                <c:pt idx="70">
                  <c:v>tle2 max</c:v>
                </c:pt>
                <c:pt idx="71">
                  <c:v>tle2 min</c:v>
                </c:pt>
                <c:pt idx="72">
                  <c:v>tld3-1</c:v>
                </c:pt>
                <c:pt idx="73">
                  <c:v>tld3-2</c:v>
                </c:pt>
                <c:pt idx="74">
                  <c:v>tld3-3</c:v>
                </c:pt>
                <c:pt idx="75">
                  <c:v>tld3 avg</c:v>
                </c:pt>
                <c:pt idx="76">
                  <c:v>tld3 max</c:v>
                </c:pt>
                <c:pt idx="77">
                  <c:v>tld3 min</c:v>
                </c:pt>
                <c:pt idx="78">
                  <c:v>tle3-1</c:v>
                </c:pt>
                <c:pt idx="79">
                  <c:v>tle3-2</c:v>
                </c:pt>
                <c:pt idx="80">
                  <c:v>tle3-3</c:v>
                </c:pt>
                <c:pt idx="81">
                  <c:v>tle3 avg</c:v>
                </c:pt>
                <c:pt idx="82">
                  <c:v>tle3 max</c:v>
                </c:pt>
                <c:pt idx="83">
                  <c:v>tle3 min</c:v>
                </c:pt>
                <c:pt idx="84">
                  <c:v>tld4-1</c:v>
                </c:pt>
                <c:pt idx="85">
                  <c:v>tld4-2</c:v>
                </c:pt>
                <c:pt idx="86">
                  <c:v>tld4-3</c:v>
                </c:pt>
                <c:pt idx="87">
                  <c:v>tld4 avg</c:v>
                </c:pt>
                <c:pt idx="88">
                  <c:v>tld4 max</c:v>
                </c:pt>
                <c:pt idx="89">
                  <c:v>tld4 min</c:v>
                </c:pt>
                <c:pt idx="90">
                  <c:v>tle4-1</c:v>
                </c:pt>
                <c:pt idx="91">
                  <c:v>tle4-2</c:v>
                </c:pt>
                <c:pt idx="92">
                  <c:v>tle4-3</c:v>
                </c:pt>
                <c:pt idx="93">
                  <c:v>tle4 avg</c:v>
                </c:pt>
                <c:pt idx="94">
                  <c:v>tle4 max</c:v>
                </c:pt>
                <c:pt idx="95">
                  <c:v>tle4 min</c:v>
                </c:pt>
              </c:strCache>
            </c:strRef>
          </c:cat>
          <c:val>
            <c:numRef>
              <c:f>thinkpad!$F$2:$F$97</c:f>
              <c:numCache>
                <c:formatCode>0.000</c:formatCode>
                <c:ptCount val="96"/>
                <c:pt idx="0">
                  <c:v>2.7505999999999999E-2</c:v>
                </c:pt>
                <c:pt idx="1">
                  <c:v>2.4743999999999999E-2</c:v>
                </c:pt>
                <c:pt idx="2">
                  <c:v>3.1587999999999998E-2</c:v>
                </c:pt>
                <c:pt idx="3">
                  <c:v>2.7945999999999999E-2</c:v>
                </c:pt>
                <c:pt idx="4">
                  <c:v>3.1587999999999998E-2</c:v>
                </c:pt>
                <c:pt idx="5">
                  <c:v>2.4743999999999999E-2</c:v>
                </c:pt>
                <c:pt idx="6">
                  <c:v>3.3654000000000003E-2</c:v>
                </c:pt>
                <c:pt idx="7">
                  <c:v>4.5185999999999997E-2</c:v>
                </c:pt>
                <c:pt idx="8">
                  <c:v>2.8802000000000001E-2</c:v>
                </c:pt>
                <c:pt idx="9">
                  <c:v>3.5880666666666665E-2</c:v>
                </c:pt>
                <c:pt idx="10">
                  <c:v>4.5185999999999997E-2</c:v>
                </c:pt>
                <c:pt idx="11">
                  <c:v>2.8802000000000001E-2</c:v>
                </c:pt>
                <c:pt idx="12">
                  <c:v>2.7165000000000002E-2</c:v>
                </c:pt>
                <c:pt idx="13">
                  <c:v>9.6181000000000003E-2</c:v>
                </c:pt>
                <c:pt idx="14">
                  <c:v>3.5660999999999998E-2</c:v>
                </c:pt>
                <c:pt idx="15">
                  <c:v>5.3002333333333339E-2</c:v>
                </c:pt>
                <c:pt idx="16">
                  <c:v>9.6181000000000003E-2</c:v>
                </c:pt>
                <c:pt idx="17">
                  <c:v>2.7165000000000002E-2</c:v>
                </c:pt>
                <c:pt idx="18">
                  <c:v>3.2593999999999998E-2</c:v>
                </c:pt>
                <c:pt idx="19">
                  <c:v>3.1040000000000002E-2</c:v>
                </c:pt>
                <c:pt idx="20">
                  <c:v>5.2492999999999998E-2</c:v>
                </c:pt>
                <c:pt idx="21">
                  <c:v>3.8709E-2</c:v>
                </c:pt>
                <c:pt idx="22">
                  <c:v>5.2492999999999998E-2</c:v>
                </c:pt>
                <c:pt idx="23">
                  <c:v>3.1040000000000002E-2</c:v>
                </c:pt>
                <c:pt idx="24">
                  <c:v>3.3845E-2</c:v>
                </c:pt>
                <c:pt idx="25">
                  <c:v>2.6700000000000002E-2</c:v>
                </c:pt>
                <c:pt idx="26">
                  <c:v>3.2906999999999999E-2</c:v>
                </c:pt>
                <c:pt idx="27">
                  <c:v>3.115066666666667E-2</c:v>
                </c:pt>
                <c:pt idx="28">
                  <c:v>3.3845E-2</c:v>
                </c:pt>
                <c:pt idx="29">
                  <c:v>2.6700000000000002E-2</c:v>
                </c:pt>
                <c:pt idx="30">
                  <c:v>2.7205E-2</c:v>
                </c:pt>
                <c:pt idx="31">
                  <c:v>2.7587E-2</c:v>
                </c:pt>
                <c:pt idx="32">
                  <c:v>2.7814999999999999E-2</c:v>
                </c:pt>
                <c:pt idx="33">
                  <c:v>2.7535666666666667E-2</c:v>
                </c:pt>
                <c:pt idx="34">
                  <c:v>2.7814999999999999E-2</c:v>
                </c:pt>
                <c:pt idx="35">
                  <c:v>2.7205E-2</c:v>
                </c:pt>
                <c:pt idx="36">
                  <c:v>2.7193999999999999E-2</c:v>
                </c:pt>
                <c:pt idx="37">
                  <c:v>3.3087999999999999E-2</c:v>
                </c:pt>
                <c:pt idx="38">
                  <c:v>2.5578E-2</c:v>
                </c:pt>
                <c:pt idx="39">
                  <c:v>2.8620000000000003E-2</c:v>
                </c:pt>
                <c:pt idx="40">
                  <c:v>3.3087999999999999E-2</c:v>
                </c:pt>
                <c:pt idx="41">
                  <c:v>2.5578E-2</c:v>
                </c:pt>
                <c:pt idx="42">
                  <c:v>3.5549999999999998E-2</c:v>
                </c:pt>
                <c:pt idx="43">
                  <c:v>3.1739000000000003E-2</c:v>
                </c:pt>
                <c:pt idx="44">
                  <c:v>2.8069E-2</c:v>
                </c:pt>
                <c:pt idx="45">
                  <c:v>3.1786000000000002E-2</c:v>
                </c:pt>
                <c:pt idx="46">
                  <c:v>3.5549999999999998E-2</c:v>
                </c:pt>
                <c:pt idx="47">
                  <c:v>2.8069E-2</c:v>
                </c:pt>
                <c:pt idx="48">
                  <c:v>2.1576999999999999E-2</c:v>
                </c:pt>
                <c:pt idx="49">
                  <c:v>2.7004E-2</c:v>
                </c:pt>
                <c:pt idx="50">
                  <c:v>3.1786000000000002E-2</c:v>
                </c:pt>
                <c:pt idx="51">
                  <c:v>2.6788999999999997E-2</c:v>
                </c:pt>
                <c:pt idx="52">
                  <c:v>3.1786000000000002E-2</c:v>
                </c:pt>
                <c:pt idx="53">
                  <c:v>2.1576999999999999E-2</c:v>
                </c:pt>
                <c:pt idx="54">
                  <c:v>2.6727000000000001E-2</c:v>
                </c:pt>
                <c:pt idx="55">
                  <c:v>2.4140000000000002E-2</c:v>
                </c:pt>
                <c:pt idx="56">
                  <c:v>2.5274999999999999E-2</c:v>
                </c:pt>
                <c:pt idx="57">
                  <c:v>2.5380666666666666E-2</c:v>
                </c:pt>
                <c:pt idx="58">
                  <c:v>2.6727000000000001E-2</c:v>
                </c:pt>
                <c:pt idx="59">
                  <c:v>2.4140000000000002E-2</c:v>
                </c:pt>
                <c:pt idx="60">
                  <c:v>2.6061999999999998E-2</c:v>
                </c:pt>
                <c:pt idx="61">
                  <c:v>2.7622000000000001E-2</c:v>
                </c:pt>
                <c:pt idx="62">
                  <c:v>2.5072000000000001E-2</c:v>
                </c:pt>
                <c:pt idx="63">
                  <c:v>2.6251999999999998E-2</c:v>
                </c:pt>
                <c:pt idx="64">
                  <c:v>2.7622000000000001E-2</c:v>
                </c:pt>
                <c:pt idx="65">
                  <c:v>2.5072000000000001E-2</c:v>
                </c:pt>
                <c:pt idx="66">
                  <c:v>2.6630000000000001E-2</c:v>
                </c:pt>
                <c:pt idx="67">
                  <c:v>2.7888E-2</c:v>
                </c:pt>
                <c:pt idx="68">
                  <c:v>2.4910000000000002E-2</c:v>
                </c:pt>
                <c:pt idx="69">
                  <c:v>2.6476E-2</c:v>
                </c:pt>
                <c:pt idx="70">
                  <c:v>2.7888E-2</c:v>
                </c:pt>
                <c:pt idx="71">
                  <c:v>2.4910000000000002E-2</c:v>
                </c:pt>
                <c:pt idx="72">
                  <c:v>2.3057000000000001E-2</c:v>
                </c:pt>
                <c:pt idx="73">
                  <c:v>2.8216000000000001E-2</c:v>
                </c:pt>
                <c:pt idx="74">
                  <c:v>2.9336000000000001E-2</c:v>
                </c:pt>
                <c:pt idx="75">
                  <c:v>2.6869666666666667E-2</c:v>
                </c:pt>
                <c:pt idx="76">
                  <c:v>2.9336000000000001E-2</c:v>
                </c:pt>
                <c:pt idx="77">
                  <c:v>2.3057000000000001E-2</c:v>
                </c:pt>
                <c:pt idx="78">
                  <c:v>3.0492999999999999E-2</c:v>
                </c:pt>
                <c:pt idx="79">
                  <c:v>3.7634000000000001E-2</c:v>
                </c:pt>
                <c:pt idx="80">
                  <c:v>2.9288999999999999E-2</c:v>
                </c:pt>
                <c:pt idx="81">
                  <c:v>3.2471999999999994E-2</c:v>
                </c:pt>
                <c:pt idx="82">
                  <c:v>3.7634000000000001E-2</c:v>
                </c:pt>
                <c:pt idx="83">
                  <c:v>2.9288999999999999E-2</c:v>
                </c:pt>
                <c:pt idx="84">
                  <c:v>5.7618000000000003E-2</c:v>
                </c:pt>
                <c:pt idx="85">
                  <c:v>4.1440999999999999E-2</c:v>
                </c:pt>
                <c:pt idx="86">
                  <c:v>3.0986E-2</c:v>
                </c:pt>
                <c:pt idx="87">
                  <c:v>4.3348333333333343E-2</c:v>
                </c:pt>
                <c:pt idx="88">
                  <c:v>5.7618000000000003E-2</c:v>
                </c:pt>
                <c:pt idx="89">
                  <c:v>3.0986E-2</c:v>
                </c:pt>
                <c:pt idx="90">
                  <c:v>3.7770999999999999E-2</c:v>
                </c:pt>
                <c:pt idx="91">
                  <c:v>3.0085000000000001E-2</c:v>
                </c:pt>
                <c:pt idx="92">
                  <c:v>2.3411999999999999E-2</c:v>
                </c:pt>
                <c:pt idx="93">
                  <c:v>3.0422666666666667E-2</c:v>
                </c:pt>
                <c:pt idx="94">
                  <c:v>3.7770999999999999E-2</c:v>
                </c:pt>
                <c:pt idx="95">
                  <c:v>2.3411999999999999E-2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FC-4700-B33F-A949E2C61D31}"/>
            </c:ext>
          </c:extLst>
        </c:ser>
        <c:ser>
          <c:idx val="5"/>
          <c:order val="5"/>
          <c:tx>
            <c:strRef>
              <c:f>thinkpad!$G$1</c:f>
              <c:strCache>
                <c:ptCount val="1"/>
                <c:pt idx="0">
                  <c:v>generate time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thinkpad!$A$2:$A$97</c:f>
              <c:strCache>
                <c:ptCount val="96"/>
                <c:pt idx="0">
                  <c:v>tsd1-1</c:v>
                </c:pt>
                <c:pt idx="1">
                  <c:v>tsd1-2</c:v>
                </c:pt>
                <c:pt idx="2">
                  <c:v>tsd1-3</c:v>
                </c:pt>
                <c:pt idx="3">
                  <c:v>tsd1 avg</c:v>
                </c:pt>
                <c:pt idx="4">
                  <c:v>tsd1 max</c:v>
                </c:pt>
                <c:pt idx="5">
                  <c:v>tsd1 min</c:v>
                </c:pt>
                <c:pt idx="6">
                  <c:v>tse1-1</c:v>
                </c:pt>
                <c:pt idx="7">
                  <c:v>tse1-2</c:v>
                </c:pt>
                <c:pt idx="8">
                  <c:v>tse1-3</c:v>
                </c:pt>
                <c:pt idx="9">
                  <c:v>tse1 avg</c:v>
                </c:pt>
                <c:pt idx="10">
                  <c:v>tse1 max</c:v>
                </c:pt>
                <c:pt idx="11">
                  <c:v>tse1 min</c:v>
                </c:pt>
                <c:pt idx="12">
                  <c:v>tsd2-1</c:v>
                </c:pt>
                <c:pt idx="13">
                  <c:v>tsd2-2</c:v>
                </c:pt>
                <c:pt idx="14">
                  <c:v>tsd2-3</c:v>
                </c:pt>
                <c:pt idx="15">
                  <c:v>tsd2 avg</c:v>
                </c:pt>
                <c:pt idx="16">
                  <c:v>tsd2 max</c:v>
                </c:pt>
                <c:pt idx="17">
                  <c:v>tsd2 min</c:v>
                </c:pt>
                <c:pt idx="18">
                  <c:v>tse2-1</c:v>
                </c:pt>
                <c:pt idx="19">
                  <c:v>tse2-2</c:v>
                </c:pt>
                <c:pt idx="20">
                  <c:v>tse2-3</c:v>
                </c:pt>
                <c:pt idx="21">
                  <c:v>tse2 avg</c:v>
                </c:pt>
                <c:pt idx="22">
                  <c:v>tse2 max</c:v>
                </c:pt>
                <c:pt idx="23">
                  <c:v>tse2 min</c:v>
                </c:pt>
                <c:pt idx="24">
                  <c:v>tsd3-1</c:v>
                </c:pt>
                <c:pt idx="25">
                  <c:v>tsd3-2</c:v>
                </c:pt>
                <c:pt idx="26">
                  <c:v>tsd3-3</c:v>
                </c:pt>
                <c:pt idx="27">
                  <c:v>tsd3 avg</c:v>
                </c:pt>
                <c:pt idx="28">
                  <c:v>tsd3 max</c:v>
                </c:pt>
                <c:pt idx="29">
                  <c:v>tsd3 min</c:v>
                </c:pt>
                <c:pt idx="30">
                  <c:v>tse3-1</c:v>
                </c:pt>
                <c:pt idx="31">
                  <c:v>tse3-2</c:v>
                </c:pt>
                <c:pt idx="32">
                  <c:v>tse3-3</c:v>
                </c:pt>
                <c:pt idx="33">
                  <c:v>tse3 avg</c:v>
                </c:pt>
                <c:pt idx="34">
                  <c:v>tse3 max</c:v>
                </c:pt>
                <c:pt idx="35">
                  <c:v>tse3 min</c:v>
                </c:pt>
                <c:pt idx="36">
                  <c:v>tsd4-1</c:v>
                </c:pt>
                <c:pt idx="37">
                  <c:v>tsd4-2</c:v>
                </c:pt>
                <c:pt idx="38">
                  <c:v>tsd4-3</c:v>
                </c:pt>
                <c:pt idx="39">
                  <c:v>tsd4 avg</c:v>
                </c:pt>
                <c:pt idx="40">
                  <c:v>tsd4 max</c:v>
                </c:pt>
                <c:pt idx="41">
                  <c:v>tsd4 min</c:v>
                </c:pt>
                <c:pt idx="42">
                  <c:v>tse4-1</c:v>
                </c:pt>
                <c:pt idx="43">
                  <c:v>tse4-2</c:v>
                </c:pt>
                <c:pt idx="44">
                  <c:v>tse4-3</c:v>
                </c:pt>
                <c:pt idx="45">
                  <c:v>tse4 avg</c:v>
                </c:pt>
                <c:pt idx="46">
                  <c:v>tse4 max</c:v>
                </c:pt>
                <c:pt idx="47">
                  <c:v>tse4 min</c:v>
                </c:pt>
                <c:pt idx="48">
                  <c:v>tld1-1</c:v>
                </c:pt>
                <c:pt idx="49">
                  <c:v>tld1-2</c:v>
                </c:pt>
                <c:pt idx="50">
                  <c:v>tld1-3</c:v>
                </c:pt>
                <c:pt idx="51">
                  <c:v>tld1 avg</c:v>
                </c:pt>
                <c:pt idx="52">
                  <c:v>tld1 max</c:v>
                </c:pt>
                <c:pt idx="53">
                  <c:v>tld1 min</c:v>
                </c:pt>
                <c:pt idx="54">
                  <c:v>tle1-1</c:v>
                </c:pt>
                <c:pt idx="55">
                  <c:v>tle1-2</c:v>
                </c:pt>
                <c:pt idx="56">
                  <c:v>tle1-3</c:v>
                </c:pt>
                <c:pt idx="57">
                  <c:v>tle1 avg</c:v>
                </c:pt>
                <c:pt idx="58">
                  <c:v>tle1 max</c:v>
                </c:pt>
                <c:pt idx="59">
                  <c:v>tle1 min</c:v>
                </c:pt>
                <c:pt idx="60">
                  <c:v>tld2-1</c:v>
                </c:pt>
                <c:pt idx="61">
                  <c:v>tld2-2</c:v>
                </c:pt>
                <c:pt idx="62">
                  <c:v>tld2-3</c:v>
                </c:pt>
                <c:pt idx="63">
                  <c:v>tld2 avg</c:v>
                </c:pt>
                <c:pt idx="64">
                  <c:v>tld2 max</c:v>
                </c:pt>
                <c:pt idx="65">
                  <c:v>tld2 min</c:v>
                </c:pt>
                <c:pt idx="66">
                  <c:v>tle2-1</c:v>
                </c:pt>
                <c:pt idx="67">
                  <c:v>tle2-2</c:v>
                </c:pt>
                <c:pt idx="68">
                  <c:v>tle2-3</c:v>
                </c:pt>
                <c:pt idx="69">
                  <c:v>tle2 avg</c:v>
                </c:pt>
                <c:pt idx="70">
                  <c:v>tle2 max</c:v>
                </c:pt>
                <c:pt idx="71">
                  <c:v>tle2 min</c:v>
                </c:pt>
                <c:pt idx="72">
                  <c:v>tld3-1</c:v>
                </c:pt>
                <c:pt idx="73">
                  <c:v>tld3-2</c:v>
                </c:pt>
                <c:pt idx="74">
                  <c:v>tld3-3</c:v>
                </c:pt>
                <c:pt idx="75">
                  <c:v>tld3 avg</c:v>
                </c:pt>
                <c:pt idx="76">
                  <c:v>tld3 max</c:v>
                </c:pt>
                <c:pt idx="77">
                  <c:v>tld3 min</c:v>
                </c:pt>
                <c:pt idx="78">
                  <c:v>tle3-1</c:v>
                </c:pt>
                <c:pt idx="79">
                  <c:v>tle3-2</c:v>
                </c:pt>
                <c:pt idx="80">
                  <c:v>tle3-3</c:v>
                </c:pt>
                <c:pt idx="81">
                  <c:v>tle3 avg</c:v>
                </c:pt>
                <c:pt idx="82">
                  <c:v>tle3 max</c:v>
                </c:pt>
                <c:pt idx="83">
                  <c:v>tle3 min</c:v>
                </c:pt>
                <c:pt idx="84">
                  <c:v>tld4-1</c:v>
                </c:pt>
                <c:pt idx="85">
                  <c:v>tld4-2</c:v>
                </c:pt>
                <c:pt idx="86">
                  <c:v>tld4-3</c:v>
                </c:pt>
                <c:pt idx="87">
                  <c:v>tld4 avg</c:v>
                </c:pt>
                <c:pt idx="88">
                  <c:v>tld4 max</c:v>
                </c:pt>
                <c:pt idx="89">
                  <c:v>tld4 min</c:v>
                </c:pt>
                <c:pt idx="90">
                  <c:v>tle4-1</c:v>
                </c:pt>
                <c:pt idx="91">
                  <c:v>tle4-2</c:v>
                </c:pt>
                <c:pt idx="92">
                  <c:v>tle4-3</c:v>
                </c:pt>
                <c:pt idx="93">
                  <c:v>tle4 avg</c:v>
                </c:pt>
                <c:pt idx="94">
                  <c:v>tle4 max</c:v>
                </c:pt>
                <c:pt idx="95">
                  <c:v>tle4 min</c:v>
                </c:pt>
              </c:strCache>
            </c:strRef>
          </c:cat>
          <c:val>
            <c:numRef>
              <c:f>thinkpad!$G$2:$G$97</c:f>
              <c:numCache>
                <c:formatCode>0.000</c:formatCode>
                <c:ptCount val="96"/>
                <c:pt idx="0">
                  <c:v>32.405859999999997</c:v>
                </c:pt>
                <c:pt idx="1">
                  <c:v>7.2163599999999999</c:v>
                </c:pt>
                <c:pt idx="2">
                  <c:v>7.2722499999999997</c:v>
                </c:pt>
                <c:pt idx="3">
                  <c:v>15.631489999999999</c:v>
                </c:pt>
                <c:pt idx="4">
                  <c:v>32.405859999999997</c:v>
                </c:pt>
                <c:pt idx="5">
                  <c:v>7.2163599999999999</c:v>
                </c:pt>
                <c:pt idx="6">
                  <c:v>35.969078000000003</c:v>
                </c:pt>
                <c:pt idx="7">
                  <c:v>11.989515000000001</c:v>
                </c:pt>
                <c:pt idx="8">
                  <c:v>11.581394</c:v>
                </c:pt>
                <c:pt idx="9">
                  <c:v>19.846662333333338</c:v>
                </c:pt>
                <c:pt idx="10">
                  <c:v>35.969078000000003</c:v>
                </c:pt>
                <c:pt idx="11">
                  <c:v>11.581394</c:v>
                </c:pt>
                <c:pt idx="12">
                  <c:v>29.747475000000001</c:v>
                </c:pt>
                <c:pt idx="13">
                  <c:v>14.322056</c:v>
                </c:pt>
                <c:pt idx="14">
                  <c:v>13.998491</c:v>
                </c:pt>
                <c:pt idx="15">
                  <c:v>19.356007333333334</c:v>
                </c:pt>
                <c:pt idx="16">
                  <c:v>29.747475000000001</c:v>
                </c:pt>
                <c:pt idx="17">
                  <c:v>13.998491</c:v>
                </c:pt>
                <c:pt idx="18">
                  <c:v>32.232250000000001</c:v>
                </c:pt>
                <c:pt idx="19">
                  <c:v>34.932189000000001</c:v>
                </c:pt>
                <c:pt idx="20">
                  <c:v>18.040427999999999</c:v>
                </c:pt>
                <c:pt idx="21">
                  <c:v>28.401622333333336</c:v>
                </c:pt>
                <c:pt idx="22">
                  <c:v>34.932189000000001</c:v>
                </c:pt>
                <c:pt idx="23">
                  <c:v>18.040427999999999</c:v>
                </c:pt>
                <c:pt idx="24">
                  <c:v>28.639216999999999</c:v>
                </c:pt>
                <c:pt idx="25">
                  <c:v>9.5623500000000003</c:v>
                </c:pt>
                <c:pt idx="26">
                  <c:v>13.906044</c:v>
                </c:pt>
                <c:pt idx="27">
                  <c:v>17.369203666666667</c:v>
                </c:pt>
                <c:pt idx="28">
                  <c:v>28.639216999999999</c:v>
                </c:pt>
                <c:pt idx="29">
                  <c:v>9.5623500000000003</c:v>
                </c:pt>
                <c:pt idx="30">
                  <c:v>5.5490919999999999</c:v>
                </c:pt>
                <c:pt idx="31">
                  <c:v>5.3003780000000003</c:v>
                </c:pt>
                <c:pt idx="32">
                  <c:v>8.0270569999999992</c:v>
                </c:pt>
                <c:pt idx="33">
                  <c:v>6.2921756666666662</c:v>
                </c:pt>
                <c:pt idx="34">
                  <c:v>8.0270569999999992</c:v>
                </c:pt>
                <c:pt idx="35">
                  <c:v>5.3003780000000003</c:v>
                </c:pt>
                <c:pt idx="36">
                  <c:v>32.340364000000001</c:v>
                </c:pt>
                <c:pt idx="37">
                  <c:v>19.389548999999999</c:v>
                </c:pt>
                <c:pt idx="38">
                  <c:v>9.2852879999999995</c:v>
                </c:pt>
                <c:pt idx="39">
                  <c:v>20.338400333333333</c:v>
                </c:pt>
                <c:pt idx="40">
                  <c:v>32.340364000000001</c:v>
                </c:pt>
                <c:pt idx="41">
                  <c:v>9.2852879999999995</c:v>
                </c:pt>
                <c:pt idx="42">
                  <c:v>24.031808000000002</c:v>
                </c:pt>
                <c:pt idx="43">
                  <c:v>6.0485829999999998</c:v>
                </c:pt>
                <c:pt idx="44">
                  <c:v>23.483711</c:v>
                </c:pt>
                <c:pt idx="45">
                  <c:v>17.85470066666667</c:v>
                </c:pt>
                <c:pt idx="46">
                  <c:v>24.031808000000002</c:v>
                </c:pt>
                <c:pt idx="47">
                  <c:v>6.0485829999999998</c:v>
                </c:pt>
                <c:pt idx="48">
                  <c:v>11.664282</c:v>
                </c:pt>
                <c:pt idx="49">
                  <c:v>12.561980999999999</c:v>
                </c:pt>
                <c:pt idx="50">
                  <c:v>8.7276930000000004</c:v>
                </c:pt>
                <c:pt idx="51">
                  <c:v>10.984651999999999</c:v>
                </c:pt>
                <c:pt idx="52">
                  <c:v>12.561980999999999</c:v>
                </c:pt>
                <c:pt idx="53">
                  <c:v>8.7276930000000004</c:v>
                </c:pt>
                <c:pt idx="54">
                  <c:v>20.038392000000002</c:v>
                </c:pt>
                <c:pt idx="55">
                  <c:v>21.107754</c:v>
                </c:pt>
                <c:pt idx="56">
                  <c:v>21.735233000000001</c:v>
                </c:pt>
                <c:pt idx="57">
                  <c:v>20.960459666666669</c:v>
                </c:pt>
                <c:pt idx="58">
                  <c:v>21.735233000000001</c:v>
                </c:pt>
                <c:pt idx="59">
                  <c:v>20.038392000000002</c:v>
                </c:pt>
                <c:pt idx="60">
                  <c:v>21.904585999999998</c:v>
                </c:pt>
                <c:pt idx="61">
                  <c:v>9.5924440000000004</c:v>
                </c:pt>
                <c:pt idx="62">
                  <c:v>18.924668</c:v>
                </c:pt>
                <c:pt idx="63">
                  <c:v>16.807232666666668</c:v>
                </c:pt>
                <c:pt idx="64">
                  <c:v>21.904585999999998</c:v>
                </c:pt>
                <c:pt idx="65">
                  <c:v>9.5924440000000004</c:v>
                </c:pt>
                <c:pt idx="66">
                  <c:v>19.453849999999999</c:v>
                </c:pt>
                <c:pt idx="67">
                  <c:v>10.641465999999999</c:v>
                </c:pt>
                <c:pt idx="68">
                  <c:v>12.938445</c:v>
                </c:pt>
                <c:pt idx="69">
                  <c:v>14.344586999999999</c:v>
                </c:pt>
                <c:pt idx="70">
                  <c:v>19.453849999999999</c:v>
                </c:pt>
                <c:pt idx="71">
                  <c:v>10.641465999999999</c:v>
                </c:pt>
                <c:pt idx="72">
                  <c:v>21.150984000000001</c:v>
                </c:pt>
                <c:pt idx="73">
                  <c:v>26.097472</c:v>
                </c:pt>
                <c:pt idx="74">
                  <c:v>6.2728060000000001</c:v>
                </c:pt>
                <c:pt idx="75">
                  <c:v>17.84042066666667</c:v>
                </c:pt>
                <c:pt idx="76">
                  <c:v>26.097472</c:v>
                </c:pt>
                <c:pt idx="77">
                  <c:v>6.2728060000000001</c:v>
                </c:pt>
                <c:pt idx="78">
                  <c:v>6.772297</c:v>
                </c:pt>
                <c:pt idx="79">
                  <c:v>6.9759929999999999</c:v>
                </c:pt>
                <c:pt idx="80">
                  <c:v>23.346215999999998</c:v>
                </c:pt>
                <c:pt idx="81">
                  <c:v>12.364835333333332</c:v>
                </c:pt>
                <c:pt idx="82">
                  <c:v>23.346215999999998</c:v>
                </c:pt>
                <c:pt idx="83">
                  <c:v>6.772297</c:v>
                </c:pt>
                <c:pt idx="84">
                  <c:v>30.936295000000001</c:v>
                </c:pt>
                <c:pt idx="85">
                  <c:v>8.7685259999999996</c:v>
                </c:pt>
                <c:pt idx="86">
                  <c:v>18.749586000000001</c:v>
                </c:pt>
                <c:pt idx="87">
                  <c:v>19.484802333333334</c:v>
                </c:pt>
                <c:pt idx="88">
                  <c:v>30.936295000000001</c:v>
                </c:pt>
                <c:pt idx="89">
                  <c:v>8.7685259999999996</c:v>
                </c:pt>
                <c:pt idx="90">
                  <c:v>30.769124000000001</c:v>
                </c:pt>
                <c:pt idx="91">
                  <c:v>18.092962</c:v>
                </c:pt>
                <c:pt idx="92">
                  <c:v>8.6725770000000004</c:v>
                </c:pt>
                <c:pt idx="93">
                  <c:v>19.178221000000004</c:v>
                </c:pt>
                <c:pt idx="94">
                  <c:v>30.769124000000001</c:v>
                </c:pt>
                <c:pt idx="95">
                  <c:v>8.6725770000000004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FC-4700-B33F-A949E2C61D31}"/>
            </c:ext>
          </c:extLst>
        </c:ser>
        <c:ser>
          <c:idx val="6"/>
          <c:order val="6"/>
          <c:tx>
            <c:strRef>
              <c:f>thinkpad!$H$1</c:f>
              <c:strCache>
                <c:ptCount val="1"/>
                <c:pt idx="0">
                  <c:v>trans time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thinkpad!$A$2:$A$97</c:f>
              <c:strCache>
                <c:ptCount val="96"/>
                <c:pt idx="0">
                  <c:v>tsd1-1</c:v>
                </c:pt>
                <c:pt idx="1">
                  <c:v>tsd1-2</c:v>
                </c:pt>
                <c:pt idx="2">
                  <c:v>tsd1-3</c:v>
                </c:pt>
                <c:pt idx="3">
                  <c:v>tsd1 avg</c:v>
                </c:pt>
                <c:pt idx="4">
                  <c:v>tsd1 max</c:v>
                </c:pt>
                <c:pt idx="5">
                  <c:v>tsd1 min</c:v>
                </c:pt>
                <c:pt idx="6">
                  <c:v>tse1-1</c:v>
                </c:pt>
                <c:pt idx="7">
                  <c:v>tse1-2</c:v>
                </c:pt>
                <c:pt idx="8">
                  <c:v>tse1-3</c:v>
                </c:pt>
                <c:pt idx="9">
                  <c:v>tse1 avg</c:v>
                </c:pt>
                <c:pt idx="10">
                  <c:v>tse1 max</c:v>
                </c:pt>
                <c:pt idx="11">
                  <c:v>tse1 min</c:v>
                </c:pt>
                <c:pt idx="12">
                  <c:v>tsd2-1</c:v>
                </c:pt>
                <c:pt idx="13">
                  <c:v>tsd2-2</c:v>
                </c:pt>
                <c:pt idx="14">
                  <c:v>tsd2-3</c:v>
                </c:pt>
                <c:pt idx="15">
                  <c:v>tsd2 avg</c:v>
                </c:pt>
                <c:pt idx="16">
                  <c:v>tsd2 max</c:v>
                </c:pt>
                <c:pt idx="17">
                  <c:v>tsd2 min</c:v>
                </c:pt>
                <c:pt idx="18">
                  <c:v>tse2-1</c:v>
                </c:pt>
                <c:pt idx="19">
                  <c:v>tse2-2</c:v>
                </c:pt>
                <c:pt idx="20">
                  <c:v>tse2-3</c:v>
                </c:pt>
                <c:pt idx="21">
                  <c:v>tse2 avg</c:v>
                </c:pt>
                <c:pt idx="22">
                  <c:v>tse2 max</c:v>
                </c:pt>
                <c:pt idx="23">
                  <c:v>tse2 min</c:v>
                </c:pt>
                <c:pt idx="24">
                  <c:v>tsd3-1</c:v>
                </c:pt>
                <c:pt idx="25">
                  <c:v>tsd3-2</c:v>
                </c:pt>
                <c:pt idx="26">
                  <c:v>tsd3-3</c:v>
                </c:pt>
                <c:pt idx="27">
                  <c:v>tsd3 avg</c:v>
                </c:pt>
                <c:pt idx="28">
                  <c:v>tsd3 max</c:v>
                </c:pt>
                <c:pt idx="29">
                  <c:v>tsd3 min</c:v>
                </c:pt>
                <c:pt idx="30">
                  <c:v>tse3-1</c:v>
                </c:pt>
                <c:pt idx="31">
                  <c:v>tse3-2</c:v>
                </c:pt>
                <c:pt idx="32">
                  <c:v>tse3-3</c:v>
                </c:pt>
                <c:pt idx="33">
                  <c:v>tse3 avg</c:v>
                </c:pt>
                <c:pt idx="34">
                  <c:v>tse3 max</c:v>
                </c:pt>
                <c:pt idx="35">
                  <c:v>tse3 min</c:v>
                </c:pt>
                <c:pt idx="36">
                  <c:v>tsd4-1</c:v>
                </c:pt>
                <c:pt idx="37">
                  <c:v>tsd4-2</c:v>
                </c:pt>
                <c:pt idx="38">
                  <c:v>tsd4-3</c:v>
                </c:pt>
                <c:pt idx="39">
                  <c:v>tsd4 avg</c:v>
                </c:pt>
                <c:pt idx="40">
                  <c:v>tsd4 max</c:v>
                </c:pt>
                <c:pt idx="41">
                  <c:v>tsd4 min</c:v>
                </c:pt>
                <c:pt idx="42">
                  <c:v>tse4-1</c:v>
                </c:pt>
                <c:pt idx="43">
                  <c:v>tse4-2</c:v>
                </c:pt>
                <c:pt idx="44">
                  <c:v>tse4-3</c:v>
                </c:pt>
                <c:pt idx="45">
                  <c:v>tse4 avg</c:v>
                </c:pt>
                <c:pt idx="46">
                  <c:v>tse4 max</c:v>
                </c:pt>
                <c:pt idx="47">
                  <c:v>tse4 min</c:v>
                </c:pt>
                <c:pt idx="48">
                  <c:v>tld1-1</c:v>
                </c:pt>
                <c:pt idx="49">
                  <c:v>tld1-2</c:v>
                </c:pt>
                <c:pt idx="50">
                  <c:v>tld1-3</c:v>
                </c:pt>
                <c:pt idx="51">
                  <c:v>tld1 avg</c:v>
                </c:pt>
                <c:pt idx="52">
                  <c:v>tld1 max</c:v>
                </c:pt>
                <c:pt idx="53">
                  <c:v>tld1 min</c:v>
                </c:pt>
                <c:pt idx="54">
                  <c:v>tle1-1</c:v>
                </c:pt>
                <c:pt idx="55">
                  <c:v>tle1-2</c:v>
                </c:pt>
                <c:pt idx="56">
                  <c:v>tle1-3</c:v>
                </c:pt>
                <c:pt idx="57">
                  <c:v>tle1 avg</c:v>
                </c:pt>
                <c:pt idx="58">
                  <c:v>tle1 max</c:v>
                </c:pt>
                <c:pt idx="59">
                  <c:v>tle1 min</c:v>
                </c:pt>
                <c:pt idx="60">
                  <c:v>tld2-1</c:v>
                </c:pt>
                <c:pt idx="61">
                  <c:v>tld2-2</c:v>
                </c:pt>
                <c:pt idx="62">
                  <c:v>tld2-3</c:v>
                </c:pt>
                <c:pt idx="63">
                  <c:v>tld2 avg</c:v>
                </c:pt>
                <c:pt idx="64">
                  <c:v>tld2 max</c:v>
                </c:pt>
                <c:pt idx="65">
                  <c:v>tld2 min</c:v>
                </c:pt>
                <c:pt idx="66">
                  <c:v>tle2-1</c:v>
                </c:pt>
                <c:pt idx="67">
                  <c:v>tle2-2</c:v>
                </c:pt>
                <c:pt idx="68">
                  <c:v>tle2-3</c:v>
                </c:pt>
                <c:pt idx="69">
                  <c:v>tle2 avg</c:v>
                </c:pt>
                <c:pt idx="70">
                  <c:v>tle2 max</c:v>
                </c:pt>
                <c:pt idx="71">
                  <c:v>tle2 min</c:v>
                </c:pt>
                <c:pt idx="72">
                  <c:v>tld3-1</c:v>
                </c:pt>
                <c:pt idx="73">
                  <c:v>tld3-2</c:v>
                </c:pt>
                <c:pt idx="74">
                  <c:v>tld3-3</c:v>
                </c:pt>
                <c:pt idx="75">
                  <c:v>tld3 avg</c:v>
                </c:pt>
                <c:pt idx="76">
                  <c:v>tld3 max</c:v>
                </c:pt>
                <c:pt idx="77">
                  <c:v>tld3 min</c:v>
                </c:pt>
                <c:pt idx="78">
                  <c:v>tle3-1</c:v>
                </c:pt>
                <c:pt idx="79">
                  <c:v>tle3-2</c:v>
                </c:pt>
                <c:pt idx="80">
                  <c:v>tle3-3</c:v>
                </c:pt>
                <c:pt idx="81">
                  <c:v>tle3 avg</c:v>
                </c:pt>
                <c:pt idx="82">
                  <c:v>tle3 max</c:v>
                </c:pt>
                <c:pt idx="83">
                  <c:v>tle3 min</c:v>
                </c:pt>
                <c:pt idx="84">
                  <c:v>tld4-1</c:v>
                </c:pt>
                <c:pt idx="85">
                  <c:v>tld4-2</c:v>
                </c:pt>
                <c:pt idx="86">
                  <c:v>tld4-3</c:v>
                </c:pt>
                <c:pt idx="87">
                  <c:v>tld4 avg</c:v>
                </c:pt>
                <c:pt idx="88">
                  <c:v>tld4 max</c:v>
                </c:pt>
                <c:pt idx="89">
                  <c:v>tld4 min</c:v>
                </c:pt>
                <c:pt idx="90">
                  <c:v>tle4-1</c:v>
                </c:pt>
                <c:pt idx="91">
                  <c:v>tle4-2</c:v>
                </c:pt>
                <c:pt idx="92">
                  <c:v>tle4-3</c:v>
                </c:pt>
                <c:pt idx="93">
                  <c:v>tle4 avg</c:v>
                </c:pt>
                <c:pt idx="94">
                  <c:v>tle4 max</c:v>
                </c:pt>
                <c:pt idx="95">
                  <c:v>tle4 min</c:v>
                </c:pt>
              </c:strCache>
            </c:strRef>
          </c:cat>
          <c:val>
            <c:numRef>
              <c:f>thinkpad!$H$2:$H$97</c:f>
              <c:numCache>
                <c:formatCode>0.000</c:formatCode>
                <c:ptCount val="96"/>
                <c:pt idx="0">
                  <c:v>13.270339</c:v>
                </c:pt>
                <c:pt idx="1">
                  <c:v>4.9982959999999999</c:v>
                </c:pt>
                <c:pt idx="2">
                  <c:v>4.401923</c:v>
                </c:pt>
                <c:pt idx="3">
                  <c:v>7.5568526666666669</c:v>
                </c:pt>
                <c:pt idx="4">
                  <c:v>13.270339</c:v>
                </c:pt>
                <c:pt idx="5">
                  <c:v>4.401923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6.8425719999999997</c:v>
                </c:pt>
                <c:pt idx="13">
                  <c:v>7.0480179999999999</c:v>
                </c:pt>
                <c:pt idx="14">
                  <c:v>7.5024100000000002</c:v>
                </c:pt>
                <c:pt idx="15">
                  <c:v>7.1310000000000002</c:v>
                </c:pt>
                <c:pt idx="16">
                  <c:v>7.5024100000000002</c:v>
                </c:pt>
                <c:pt idx="17">
                  <c:v>6.8425719999999997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4.6458459999999997</c:v>
                </c:pt>
                <c:pt idx="25">
                  <c:v>5.8778839999999999</c:v>
                </c:pt>
                <c:pt idx="26">
                  <c:v>7.8968610000000004</c:v>
                </c:pt>
                <c:pt idx="27">
                  <c:v>6.1401970000000006</c:v>
                </c:pt>
                <c:pt idx="28">
                  <c:v>7.8968610000000004</c:v>
                </c:pt>
                <c:pt idx="29">
                  <c:v>4.6458459999999997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5.2206080000000004</c:v>
                </c:pt>
                <c:pt idx="37">
                  <c:v>10.060079</c:v>
                </c:pt>
                <c:pt idx="38">
                  <c:v>5.428928</c:v>
                </c:pt>
                <c:pt idx="39">
                  <c:v>6.9032049999999998</c:v>
                </c:pt>
                <c:pt idx="40">
                  <c:v>10.060079</c:v>
                </c:pt>
                <c:pt idx="41">
                  <c:v>5.2206080000000004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7.8170029999999997</c:v>
                </c:pt>
                <c:pt idx="49">
                  <c:v>8.6574310000000008</c:v>
                </c:pt>
                <c:pt idx="50">
                  <c:v>6.3312039999999996</c:v>
                </c:pt>
                <c:pt idx="51">
                  <c:v>7.6018793333333337</c:v>
                </c:pt>
                <c:pt idx="52">
                  <c:v>8.6574310000000008</c:v>
                </c:pt>
                <c:pt idx="53">
                  <c:v>6.3312039999999996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5.6911800000000001</c:v>
                </c:pt>
                <c:pt idx="61">
                  <c:v>6.1305870000000002</c:v>
                </c:pt>
                <c:pt idx="62">
                  <c:v>10.756895999999999</c:v>
                </c:pt>
                <c:pt idx="63">
                  <c:v>7.5262209999999996</c:v>
                </c:pt>
                <c:pt idx="64">
                  <c:v>10.756895999999999</c:v>
                </c:pt>
                <c:pt idx="65">
                  <c:v>5.6911800000000001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5.1075850000000003</c:v>
                </c:pt>
                <c:pt idx="73">
                  <c:v>14.853776</c:v>
                </c:pt>
                <c:pt idx="74">
                  <c:v>4.1737599999999997</c:v>
                </c:pt>
                <c:pt idx="75">
                  <c:v>8.0450403333333327</c:v>
                </c:pt>
                <c:pt idx="76">
                  <c:v>14.853776</c:v>
                </c:pt>
                <c:pt idx="77">
                  <c:v>4.1737599999999997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8.687398</c:v>
                </c:pt>
                <c:pt idx="85">
                  <c:v>6.446809</c:v>
                </c:pt>
                <c:pt idx="86">
                  <c:v>13.188071000000001</c:v>
                </c:pt>
                <c:pt idx="87">
                  <c:v>9.4407593333333342</c:v>
                </c:pt>
                <c:pt idx="88">
                  <c:v>13.188071000000001</c:v>
                </c:pt>
                <c:pt idx="89">
                  <c:v>6.446809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FC-4700-B33F-A949E2C61D31}"/>
            </c:ext>
          </c:extLst>
        </c:ser>
        <c:ser>
          <c:idx val="7"/>
          <c:order val="7"/>
          <c:tx>
            <c:strRef>
              <c:f>thinkpad!$I$1</c:f>
              <c:strCache>
                <c:ptCount val="1"/>
                <c:pt idx="0">
                  <c:v>time sum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thinkpad!$A$2:$A$97</c:f>
              <c:strCache>
                <c:ptCount val="96"/>
                <c:pt idx="0">
                  <c:v>tsd1-1</c:v>
                </c:pt>
                <c:pt idx="1">
                  <c:v>tsd1-2</c:v>
                </c:pt>
                <c:pt idx="2">
                  <c:v>tsd1-3</c:v>
                </c:pt>
                <c:pt idx="3">
                  <c:v>tsd1 avg</c:v>
                </c:pt>
                <c:pt idx="4">
                  <c:v>tsd1 max</c:v>
                </c:pt>
                <c:pt idx="5">
                  <c:v>tsd1 min</c:v>
                </c:pt>
                <c:pt idx="6">
                  <c:v>tse1-1</c:v>
                </c:pt>
                <c:pt idx="7">
                  <c:v>tse1-2</c:v>
                </c:pt>
                <c:pt idx="8">
                  <c:v>tse1-3</c:v>
                </c:pt>
                <c:pt idx="9">
                  <c:v>tse1 avg</c:v>
                </c:pt>
                <c:pt idx="10">
                  <c:v>tse1 max</c:v>
                </c:pt>
                <c:pt idx="11">
                  <c:v>tse1 min</c:v>
                </c:pt>
                <c:pt idx="12">
                  <c:v>tsd2-1</c:v>
                </c:pt>
                <c:pt idx="13">
                  <c:v>tsd2-2</c:v>
                </c:pt>
                <c:pt idx="14">
                  <c:v>tsd2-3</c:v>
                </c:pt>
                <c:pt idx="15">
                  <c:v>tsd2 avg</c:v>
                </c:pt>
                <c:pt idx="16">
                  <c:v>tsd2 max</c:v>
                </c:pt>
                <c:pt idx="17">
                  <c:v>tsd2 min</c:v>
                </c:pt>
                <c:pt idx="18">
                  <c:v>tse2-1</c:v>
                </c:pt>
                <c:pt idx="19">
                  <c:v>tse2-2</c:v>
                </c:pt>
                <c:pt idx="20">
                  <c:v>tse2-3</c:v>
                </c:pt>
                <c:pt idx="21">
                  <c:v>tse2 avg</c:v>
                </c:pt>
                <c:pt idx="22">
                  <c:v>tse2 max</c:v>
                </c:pt>
                <c:pt idx="23">
                  <c:v>tse2 min</c:v>
                </c:pt>
                <c:pt idx="24">
                  <c:v>tsd3-1</c:v>
                </c:pt>
                <c:pt idx="25">
                  <c:v>tsd3-2</c:v>
                </c:pt>
                <c:pt idx="26">
                  <c:v>tsd3-3</c:v>
                </c:pt>
                <c:pt idx="27">
                  <c:v>tsd3 avg</c:v>
                </c:pt>
                <c:pt idx="28">
                  <c:v>tsd3 max</c:v>
                </c:pt>
                <c:pt idx="29">
                  <c:v>tsd3 min</c:v>
                </c:pt>
                <c:pt idx="30">
                  <c:v>tse3-1</c:v>
                </c:pt>
                <c:pt idx="31">
                  <c:v>tse3-2</c:v>
                </c:pt>
                <c:pt idx="32">
                  <c:v>tse3-3</c:v>
                </c:pt>
                <c:pt idx="33">
                  <c:v>tse3 avg</c:v>
                </c:pt>
                <c:pt idx="34">
                  <c:v>tse3 max</c:v>
                </c:pt>
                <c:pt idx="35">
                  <c:v>tse3 min</c:v>
                </c:pt>
                <c:pt idx="36">
                  <c:v>tsd4-1</c:v>
                </c:pt>
                <c:pt idx="37">
                  <c:v>tsd4-2</c:v>
                </c:pt>
                <c:pt idx="38">
                  <c:v>tsd4-3</c:v>
                </c:pt>
                <c:pt idx="39">
                  <c:v>tsd4 avg</c:v>
                </c:pt>
                <c:pt idx="40">
                  <c:v>tsd4 max</c:v>
                </c:pt>
                <c:pt idx="41">
                  <c:v>tsd4 min</c:v>
                </c:pt>
                <c:pt idx="42">
                  <c:v>tse4-1</c:v>
                </c:pt>
                <c:pt idx="43">
                  <c:v>tse4-2</c:v>
                </c:pt>
                <c:pt idx="44">
                  <c:v>tse4-3</c:v>
                </c:pt>
                <c:pt idx="45">
                  <c:v>tse4 avg</c:v>
                </c:pt>
                <c:pt idx="46">
                  <c:v>tse4 max</c:v>
                </c:pt>
                <c:pt idx="47">
                  <c:v>tse4 min</c:v>
                </c:pt>
                <c:pt idx="48">
                  <c:v>tld1-1</c:v>
                </c:pt>
                <c:pt idx="49">
                  <c:v>tld1-2</c:v>
                </c:pt>
                <c:pt idx="50">
                  <c:v>tld1-3</c:v>
                </c:pt>
                <c:pt idx="51">
                  <c:v>tld1 avg</c:v>
                </c:pt>
                <c:pt idx="52">
                  <c:v>tld1 max</c:v>
                </c:pt>
                <c:pt idx="53">
                  <c:v>tld1 min</c:v>
                </c:pt>
                <c:pt idx="54">
                  <c:v>tle1-1</c:v>
                </c:pt>
                <c:pt idx="55">
                  <c:v>tle1-2</c:v>
                </c:pt>
                <c:pt idx="56">
                  <c:v>tle1-3</c:v>
                </c:pt>
                <c:pt idx="57">
                  <c:v>tle1 avg</c:v>
                </c:pt>
                <c:pt idx="58">
                  <c:v>tle1 max</c:v>
                </c:pt>
                <c:pt idx="59">
                  <c:v>tle1 min</c:v>
                </c:pt>
                <c:pt idx="60">
                  <c:v>tld2-1</c:v>
                </c:pt>
                <c:pt idx="61">
                  <c:v>tld2-2</c:v>
                </c:pt>
                <c:pt idx="62">
                  <c:v>tld2-3</c:v>
                </c:pt>
                <c:pt idx="63">
                  <c:v>tld2 avg</c:v>
                </c:pt>
                <c:pt idx="64">
                  <c:v>tld2 max</c:v>
                </c:pt>
                <c:pt idx="65">
                  <c:v>tld2 min</c:v>
                </c:pt>
                <c:pt idx="66">
                  <c:v>tle2-1</c:v>
                </c:pt>
                <c:pt idx="67">
                  <c:v>tle2-2</c:v>
                </c:pt>
                <c:pt idx="68">
                  <c:v>tle2-3</c:v>
                </c:pt>
                <c:pt idx="69">
                  <c:v>tle2 avg</c:v>
                </c:pt>
                <c:pt idx="70">
                  <c:v>tle2 max</c:v>
                </c:pt>
                <c:pt idx="71">
                  <c:v>tle2 min</c:v>
                </c:pt>
                <c:pt idx="72">
                  <c:v>tld3-1</c:v>
                </c:pt>
                <c:pt idx="73">
                  <c:v>tld3-2</c:v>
                </c:pt>
                <c:pt idx="74">
                  <c:v>tld3-3</c:v>
                </c:pt>
                <c:pt idx="75">
                  <c:v>tld3 avg</c:v>
                </c:pt>
                <c:pt idx="76">
                  <c:v>tld3 max</c:v>
                </c:pt>
                <c:pt idx="77">
                  <c:v>tld3 min</c:v>
                </c:pt>
                <c:pt idx="78">
                  <c:v>tle3-1</c:v>
                </c:pt>
                <c:pt idx="79">
                  <c:v>tle3-2</c:v>
                </c:pt>
                <c:pt idx="80">
                  <c:v>tle3-3</c:v>
                </c:pt>
                <c:pt idx="81">
                  <c:v>tle3 avg</c:v>
                </c:pt>
                <c:pt idx="82">
                  <c:v>tle3 max</c:v>
                </c:pt>
                <c:pt idx="83">
                  <c:v>tle3 min</c:v>
                </c:pt>
                <c:pt idx="84">
                  <c:v>tld4-1</c:v>
                </c:pt>
                <c:pt idx="85">
                  <c:v>tld4-2</c:v>
                </c:pt>
                <c:pt idx="86">
                  <c:v>tld4-3</c:v>
                </c:pt>
                <c:pt idx="87">
                  <c:v>tld4 avg</c:v>
                </c:pt>
                <c:pt idx="88">
                  <c:v>tld4 max</c:v>
                </c:pt>
                <c:pt idx="89">
                  <c:v>tld4 min</c:v>
                </c:pt>
                <c:pt idx="90">
                  <c:v>tle4-1</c:v>
                </c:pt>
                <c:pt idx="91">
                  <c:v>tle4-2</c:v>
                </c:pt>
                <c:pt idx="92">
                  <c:v>tle4-3</c:v>
                </c:pt>
                <c:pt idx="93">
                  <c:v>tle4 avg</c:v>
                </c:pt>
                <c:pt idx="94">
                  <c:v>tle4 max</c:v>
                </c:pt>
                <c:pt idx="95">
                  <c:v>tle4 min</c:v>
                </c:pt>
              </c:strCache>
            </c:strRef>
          </c:cat>
          <c:val>
            <c:numRef>
              <c:f>thinkpad!$I$2:$I$97</c:f>
              <c:numCache>
                <c:formatCode>0.000</c:formatCode>
                <c:ptCount val="96"/>
                <c:pt idx="0">
                  <c:v>48.058489999999999</c:v>
                </c:pt>
                <c:pt idx="1">
                  <c:v>14.117806999999999</c:v>
                </c:pt>
                <c:pt idx="2">
                  <c:v>13.913729999999999</c:v>
                </c:pt>
                <c:pt idx="3">
                  <c:v>25.363342333333332</c:v>
                </c:pt>
                <c:pt idx="4">
                  <c:v>48.058489999999999</c:v>
                </c:pt>
                <c:pt idx="5">
                  <c:v>13.913729999999999</c:v>
                </c:pt>
                <c:pt idx="6">
                  <c:v>36.002732000000002</c:v>
                </c:pt>
                <c:pt idx="7">
                  <c:v>12.034701</c:v>
                </c:pt>
                <c:pt idx="8">
                  <c:v>11.610196</c:v>
                </c:pt>
                <c:pt idx="9">
                  <c:v>19.882543000000002</c:v>
                </c:pt>
                <c:pt idx="10">
                  <c:v>36.002732000000002</c:v>
                </c:pt>
                <c:pt idx="11">
                  <c:v>11.610196</c:v>
                </c:pt>
                <c:pt idx="12">
                  <c:v>38.733153000000001</c:v>
                </c:pt>
                <c:pt idx="13">
                  <c:v>23.662949999999999</c:v>
                </c:pt>
                <c:pt idx="14">
                  <c:v>23.9237</c:v>
                </c:pt>
                <c:pt idx="15">
                  <c:v>28.773267666666666</c:v>
                </c:pt>
                <c:pt idx="16">
                  <c:v>38.733153000000001</c:v>
                </c:pt>
                <c:pt idx="17">
                  <c:v>23.662949999999999</c:v>
                </c:pt>
                <c:pt idx="18">
                  <c:v>32.264844000000004</c:v>
                </c:pt>
                <c:pt idx="19">
                  <c:v>34.963228999999998</c:v>
                </c:pt>
                <c:pt idx="20">
                  <c:v>18.092920999999997</c:v>
                </c:pt>
                <c:pt idx="21">
                  <c:v>28.440331333333329</c:v>
                </c:pt>
                <c:pt idx="22">
                  <c:v>34.963228999999998</c:v>
                </c:pt>
                <c:pt idx="23">
                  <c:v>18.092920999999997</c:v>
                </c:pt>
                <c:pt idx="24">
                  <c:v>35.105738000000002</c:v>
                </c:pt>
                <c:pt idx="25">
                  <c:v>17.151029000000001</c:v>
                </c:pt>
                <c:pt idx="26">
                  <c:v>23.627682</c:v>
                </c:pt>
                <c:pt idx="27">
                  <c:v>25.294816333333333</c:v>
                </c:pt>
                <c:pt idx="28">
                  <c:v>35.105738000000002</c:v>
                </c:pt>
                <c:pt idx="29">
                  <c:v>17.151029000000001</c:v>
                </c:pt>
                <c:pt idx="30">
                  <c:v>5.5762970000000003</c:v>
                </c:pt>
                <c:pt idx="31">
                  <c:v>5.3279649999999998</c:v>
                </c:pt>
                <c:pt idx="32">
                  <c:v>8.0548719999999996</c:v>
                </c:pt>
                <c:pt idx="33">
                  <c:v>6.3197113333333332</c:v>
                </c:pt>
                <c:pt idx="34">
                  <c:v>8.0548719999999996</c:v>
                </c:pt>
                <c:pt idx="35">
                  <c:v>5.3279649999999998</c:v>
                </c:pt>
                <c:pt idx="36">
                  <c:v>39.464179000000001</c:v>
                </c:pt>
                <c:pt idx="37">
                  <c:v>31.455300000000001</c:v>
                </c:pt>
                <c:pt idx="38">
                  <c:v>16.700098999999998</c:v>
                </c:pt>
                <c:pt idx="39">
                  <c:v>29.206525999999997</c:v>
                </c:pt>
                <c:pt idx="40">
                  <c:v>39.464179000000001</c:v>
                </c:pt>
                <c:pt idx="41">
                  <c:v>16.700098999999998</c:v>
                </c:pt>
                <c:pt idx="42">
                  <c:v>24.067358000000002</c:v>
                </c:pt>
                <c:pt idx="43">
                  <c:v>6.0803219999999998</c:v>
                </c:pt>
                <c:pt idx="44">
                  <c:v>23.511779999999998</c:v>
                </c:pt>
                <c:pt idx="45">
                  <c:v>17.886486666666666</c:v>
                </c:pt>
                <c:pt idx="46">
                  <c:v>24.067358000000002</c:v>
                </c:pt>
                <c:pt idx="47">
                  <c:v>6.0803219999999998</c:v>
                </c:pt>
                <c:pt idx="48">
                  <c:v>21.298096000000001</c:v>
                </c:pt>
                <c:pt idx="49">
                  <c:v>23.055882</c:v>
                </c:pt>
                <c:pt idx="50">
                  <c:v>16.895935999999999</c:v>
                </c:pt>
                <c:pt idx="51">
                  <c:v>20.416637999999999</c:v>
                </c:pt>
                <c:pt idx="52">
                  <c:v>23.055882</c:v>
                </c:pt>
                <c:pt idx="53">
                  <c:v>16.895935999999999</c:v>
                </c:pt>
                <c:pt idx="54">
                  <c:v>20.065119000000003</c:v>
                </c:pt>
                <c:pt idx="55">
                  <c:v>21.131893999999999</c:v>
                </c:pt>
                <c:pt idx="56">
                  <c:v>21.760508000000002</c:v>
                </c:pt>
                <c:pt idx="57">
                  <c:v>20.985840333333332</c:v>
                </c:pt>
                <c:pt idx="58">
                  <c:v>21.760508000000002</c:v>
                </c:pt>
                <c:pt idx="59">
                  <c:v>20.065119000000003</c:v>
                </c:pt>
                <c:pt idx="60">
                  <c:v>29.595798999999996</c:v>
                </c:pt>
                <c:pt idx="61">
                  <c:v>17.738160000000001</c:v>
                </c:pt>
                <c:pt idx="62">
                  <c:v>31.812188999999996</c:v>
                </c:pt>
                <c:pt idx="63">
                  <c:v>26.382049333333327</c:v>
                </c:pt>
                <c:pt idx="64">
                  <c:v>31.812188999999996</c:v>
                </c:pt>
                <c:pt idx="65">
                  <c:v>17.738160000000001</c:v>
                </c:pt>
                <c:pt idx="66">
                  <c:v>19.48048</c:v>
                </c:pt>
                <c:pt idx="67">
                  <c:v>10.669354</c:v>
                </c:pt>
                <c:pt idx="68">
                  <c:v>12.963355</c:v>
                </c:pt>
                <c:pt idx="69">
                  <c:v>14.371062999999999</c:v>
                </c:pt>
                <c:pt idx="70">
                  <c:v>19.48048</c:v>
                </c:pt>
                <c:pt idx="71">
                  <c:v>10.669354</c:v>
                </c:pt>
                <c:pt idx="72">
                  <c:v>27.871073000000003</c:v>
                </c:pt>
                <c:pt idx="73">
                  <c:v>42.968350000000001</c:v>
                </c:pt>
                <c:pt idx="74">
                  <c:v>12.461630999999999</c:v>
                </c:pt>
                <c:pt idx="75">
                  <c:v>27.767018000000004</c:v>
                </c:pt>
                <c:pt idx="76">
                  <c:v>42.968350000000001</c:v>
                </c:pt>
                <c:pt idx="77">
                  <c:v>12.461630999999999</c:v>
                </c:pt>
                <c:pt idx="78">
                  <c:v>6.8027899999999999</c:v>
                </c:pt>
                <c:pt idx="79">
                  <c:v>7.0136269999999996</c:v>
                </c:pt>
                <c:pt idx="80">
                  <c:v>23.375504999999997</c:v>
                </c:pt>
                <c:pt idx="81">
                  <c:v>12.397307333333332</c:v>
                </c:pt>
                <c:pt idx="82">
                  <c:v>23.375504999999997</c:v>
                </c:pt>
                <c:pt idx="83">
                  <c:v>6.8027899999999999</c:v>
                </c:pt>
                <c:pt idx="84">
                  <c:v>41.605936</c:v>
                </c:pt>
                <c:pt idx="85">
                  <c:v>17.572343</c:v>
                </c:pt>
                <c:pt idx="86">
                  <c:v>33.815296000000004</c:v>
                </c:pt>
                <c:pt idx="87">
                  <c:v>30.997858333333337</c:v>
                </c:pt>
                <c:pt idx="88">
                  <c:v>41.605936</c:v>
                </c:pt>
                <c:pt idx="89">
                  <c:v>17.572343</c:v>
                </c:pt>
                <c:pt idx="90">
                  <c:v>30.806895000000001</c:v>
                </c:pt>
                <c:pt idx="91">
                  <c:v>18.123047</c:v>
                </c:pt>
                <c:pt idx="92">
                  <c:v>8.6959890000000009</c:v>
                </c:pt>
                <c:pt idx="93">
                  <c:v>19.208643666666664</c:v>
                </c:pt>
                <c:pt idx="94">
                  <c:v>30.806895000000001</c:v>
                </c:pt>
                <c:pt idx="95">
                  <c:v>8.6959890000000009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FC-4700-B33F-A949E2C61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579952"/>
        <c:axId val="823598672"/>
      </c:lineChart>
      <c:catAx>
        <c:axId val="8235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23598672"/>
        <c:crosses val="autoZero"/>
        <c:auto val="1"/>
        <c:lblAlgn val="ctr"/>
        <c:lblOffset val="100"/>
        <c:noMultiLvlLbl val="0"/>
      </c:catAx>
      <c:valAx>
        <c:axId val="82359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2357995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533399</xdr:colOff>
      <xdr:row>0</xdr:row>
      <xdr:rowOff>5</xdr:rowOff>
    </xdr:from>
    <xdr:to>
      <xdr:col>21</xdr:col>
      <xdr:colOff>180974</xdr:colOff>
      <xdr:row>29</xdr:row>
      <xdr:rowOff>9524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82E6472-E09C-8087-7964-F0A2AC4B6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1A52-D5BC-415E-8226-D88516302819}">
  <dimension ref="A1:K97"/>
  <sheetViews>
    <sheetView topLeftCell="B1" workbookViewId="0">
      <pane ySplit="1" topLeftCell="A76" activePane="bottomLeft" state="frozen"/>
      <selection pane="bottomLeft" activeCell="B1" sqref="A1:XFD1048576"/>
    </sheetView>
  </sheetViews>
  <sheetFormatPr baseColWidth="10" defaultRowHeight="14.25" x14ac:dyDescent="0.2"/>
  <cols>
    <col min="1" max="4" width="11.42578125" style="4"/>
    <col min="5" max="11" width="11.42578125" style="6"/>
    <col min="12" max="16384" width="11.42578125" style="4"/>
  </cols>
  <sheetData>
    <row r="1" spans="1:11" s="2" customFormat="1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16</v>
      </c>
      <c r="F1" s="3" t="s">
        <v>17</v>
      </c>
      <c r="G1" s="3" t="s">
        <v>18</v>
      </c>
      <c r="H1" s="3" t="s">
        <v>16</v>
      </c>
      <c r="I1" s="3" t="s">
        <v>22</v>
      </c>
      <c r="J1" s="3" t="s">
        <v>2</v>
      </c>
      <c r="K1" s="3" t="s">
        <v>23</v>
      </c>
    </row>
    <row r="2" spans="1:11" x14ac:dyDescent="0.2">
      <c r="A2" s="4" t="s">
        <v>69</v>
      </c>
      <c r="B2" s="4" t="s">
        <v>4</v>
      </c>
      <c r="C2" s="4" t="s">
        <v>5</v>
      </c>
      <c r="D2" s="4" t="s">
        <v>6</v>
      </c>
      <c r="E2" s="5">
        <v>2.3547850000000001</v>
      </c>
      <c r="F2" s="5">
        <v>2.7505999999999999E-2</v>
      </c>
      <c r="G2" s="5">
        <v>32.405859999999997</v>
      </c>
      <c r="H2" s="5">
        <v>13.270339</v>
      </c>
      <c r="I2" s="6">
        <f>SUM(E2:H2)</f>
        <v>48.058489999999999</v>
      </c>
    </row>
    <row r="3" spans="1:11" x14ac:dyDescent="0.2">
      <c r="A3" s="4" t="s">
        <v>70</v>
      </c>
      <c r="B3" s="4" t="s">
        <v>4</v>
      </c>
      <c r="C3" s="4" t="s">
        <v>5</v>
      </c>
      <c r="D3" s="4" t="s">
        <v>6</v>
      </c>
      <c r="E3" s="5">
        <v>1.8784069999999999</v>
      </c>
      <c r="F3" s="5">
        <v>2.4743999999999999E-2</v>
      </c>
      <c r="G3" s="5">
        <v>7.2163599999999999</v>
      </c>
      <c r="H3" s="5">
        <v>4.9982959999999999</v>
      </c>
      <c r="I3" s="6">
        <f t="shared" ref="I3:I4" si="0">SUM(E3:H3)</f>
        <v>14.117806999999999</v>
      </c>
    </row>
    <row r="4" spans="1:11" x14ac:dyDescent="0.2">
      <c r="A4" s="4" t="s">
        <v>71</v>
      </c>
      <c r="B4" s="4" t="s">
        <v>4</v>
      </c>
      <c r="C4" s="4" t="s">
        <v>5</v>
      </c>
      <c r="D4" s="4" t="s">
        <v>6</v>
      </c>
      <c r="E4" s="5">
        <v>2.2079689999999998</v>
      </c>
      <c r="F4" s="5">
        <v>3.1587999999999998E-2</v>
      </c>
      <c r="G4" s="5">
        <v>7.2722499999999997</v>
      </c>
      <c r="H4" s="5">
        <v>4.401923</v>
      </c>
      <c r="I4" s="6">
        <f t="shared" si="0"/>
        <v>13.913729999999999</v>
      </c>
    </row>
    <row r="5" spans="1:11" x14ac:dyDescent="0.2">
      <c r="A5" s="4" t="s">
        <v>19</v>
      </c>
      <c r="B5" s="4" t="s">
        <v>4</v>
      </c>
      <c r="C5" s="4" t="s">
        <v>5</v>
      </c>
      <c r="D5" s="4" t="s">
        <v>6</v>
      </c>
      <c r="E5" s="6">
        <f t="shared" ref="E5:J5" si="1">SUM(E2:E4)/3</f>
        <v>2.1470536666666664</v>
      </c>
      <c r="F5" s="6">
        <f t="shared" si="1"/>
        <v>2.7945999999999999E-2</v>
      </c>
      <c r="G5" s="6">
        <f t="shared" si="1"/>
        <v>15.631489999999999</v>
      </c>
      <c r="H5" s="6">
        <f t="shared" si="1"/>
        <v>7.5568526666666669</v>
      </c>
      <c r="I5" s="6">
        <f t="shared" si="1"/>
        <v>25.363342333333332</v>
      </c>
      <c r="J5" s="6">
        <f t="shared" si="1"/>
        <v>0</v>
      </c>
      <c r="K5" s="6">
        <f>SUM(K2:K4)/3</f>
        <v>0</v>
      </c>
    </row>
    <row r="6" spans="1:11" x14ac:dyDescent="0.2">
      <c r="A6" s="4" t="s">
        <v>20</v>
      </c>
      <c r="B6" s="4" t="s">
        <v>4</v>
      </c>
      <c r="C6" s="4" t="s">
        <v>5</v>
      </c>
      <c r="D6" s="4" t="s">
        <v>6</v>
      </c>
      <c r="E6" s="6">
        <f>MAX(E2:E4)</f>
        <v>2.3547850000000001</v>
      </c>
      <c r="F6" s="6">
        <f t="shared" ref="F6:H6" si="2">MAX(F2:F4)</f>
        <v>3.1587999999999998E-2</v>
      </c>
      <c r="G6" s="6">
        <f t="shared" si="2"/>
        <v>32.405859999999997</v>
      </c>
      <c r="H6" s="6">
        <f t="shared" si="2"/>
        <v>13.270339</v>
      </c>
      <c r="I6" s="6">
        <f t="shared" ref="I6:K6" si="3">MAX(I2:I4)</f>
        <v>48.058489999999999</v>
      </c>
      <c r="J6" s="6">
        <f t="shared" si="3"/>
        <v>0</v>
      </c>
      <c r="K6" s="6">
        <f t="shared" si="3"/>
        <v>0</v>
      </c>
    </row>
    <row r="7" spans="1:11" x14ac:dyDescent="0.2">
      <c r="A7" s="4" t="s">
        <v>21</v>
      </c>
      <c r="B7" s="4" t="s">
        <v>4</v>
      </c>
      <c r="C7" s="4" t="s">
        <v>5</v>
      </c>
      <c r="D7" s="4" t="s">
        <v>6</v>
      </c>
      <c r="E7" s="6">
        <f>MIN(E2:E4)</f>
        <v>1.8784069999999999</v>
      </c>
      <c r="F7" s="6">
        <f t="shared" ref="F7:H7" si="4">MIN(F2:F4)</f>
        <v>2.4743999999999999E-2</v>
      </c>
      <c r="G7" s="6">
        <f t="shared" si="4"/>
        <v>7.2163599999999999</v>
      </c>
      <c r="H7" s="6">
        <f t="shared" si="4"/>
        <v>4.401923</v>
      </c>
      <c r="I7" s="6">
        <f t="shared" ref="I7:K7" si="5">MIN(I2:I4)</f>
        <v>13.913729999999999</v>
      </c>
      <c r="J7" s="6">
        <f t="shared" si="5"/>
        <v>0</v>
      </c>
      <c r="K7" s="6">
        <f t="shared" si="5"/>
        <v>0</v>
      </c>
    </row>
    <row r="8" spans="1:11" x14ac:dyDescent="0.2">
      <c r="A8" s="4" t="s">
        <v>72</v>
      </c>
      <c r="B8" s="4" t="s">
        <v>4</v>
      </c>
      <c r="C8" s="4" t="s">
        <v>9</v>
      </c>
      <c r="D8" s="4" t="s">
        <v>10</v>
      </c>
      <c r="F8" s="5">
        <v>3.3654000000000003E-2</v>
      </c>
      <c r="G8" s="5">
        <v>35.969078000000003</v>
      </c>
      <c r="I8" s="6">
        <f>SUM(E8:H8)</f>
        <v>36.002732000000002</v>
      </c>
    </row>
    <row r="9" spans="1:11" x14ac:dyDescent="0.2">
      <c r="A9" s="4" t="s">
        <v>73</v>
      </c>
      <c r="B9" s="4" t="s">
        <v>4</v>
      </c>
      <c r="C9" s="4" t="s">
        <v>9</v>
      </c>
      <c r="D9" s="4" t="s">
        <v>10</v>
      </c>
      <c r="F9" s="5">
        <v>4.5185999999999997E-2</v>
      </c>
      <c r="G9" s="5">
        <v>11.989515000000001</v>
      </c>
      <c r="I9" s="6">
        <f t="shared" ref="I9:I10" si="6">SUM(E9:H9)</f>
        <v>12.034701</v>
      </c>
    </row>
    <row r="10" spans="1:11" x14ac:dyDescent="0.2">
      <c r="A10" s="4" t="s">
        <v>74</v>
      </c>
      <c r="B10" s="4" t="s">
        <v>4</v>
      </c>
      <c r="C10" s="4" t="s">
        <v>9</v>
      </c>
      <c r="D10" s="4" t="s">
        <v>10</v>
      </c>
      <c r="F10" s="5">
        <v>2.8802000000000001E-2</v>
      </c>
      <c r="G10" s="5">
        <v>11.581394</v>
      </c>
      <c r="I10" s="6">
        <f t="shared" si="6"/>
        <v>11.610196</v>
      </c>
    </row>
    <row r="11" spans="1:11" x14ac:dyDescent="0.2">
      <c r="A11" s="4" t="s">
        <v>26</v>
      </c>
      <c r="B11" s="4" t="s">
        <v>4</v>
      </c>
      <c r="C11" s="4" t="s">
        <v>9</v>
      </c>
      <c r="D11" s="4" t="s">
        <v>10</v>
      </c>
      <c r="E11" s="6">
        <f t="shared" ref="E11" si="7">SUM(E8:E10)/3</f>
        <v>0</v>
      </c>
      <c r="F11" s="6">
        <f t="shared" ref="F11" si="8">SUM(F8:F10)/3</f>
        <v>3.5880666666666665E-2</v>
      </c>
      <c r="G11" s="6">
        <f t="shared" ref="G11" si="9">SUM(G8:G10)/3</f>
        <v>19.846662333333338</v>
      </c>
      <c r="H11" s="6">
        <f t="shared" ref="H11" si="10">SUM(H8:H10)/3</f>
        <v>0</v>
      </c>
      <c r="I11" s="6">
        <f t="shared" ref="I11" si="11">SUM(I8:I10)/3</f>
        <v>19.882543000000002</v>
      </c>
      <c r="J11" s="6">
        <f t="shared" ref="J11" si="12">SUM(J8:J10)/3</f>
        <v>0</v>
      </c>
      <c r="K11" s="6">
        <f>SUM(K8:K10)/3</f>
        <v>0</v>
      </c>
    </row>
    <row r="12" spans="1:11" x14ac:dyDescent="0.2">
      <c r="A12" s="4" t="s">
        <v>27</v>
      </c>
      <c r="B12" s="4" t="s">
        <v>4</v>
      </c>
      <c r="C12" s="4" t="s">
        <v>9</v>
      </c>
      <c r="D12" s="4" t="s">
        <v>10</v>
      </c>
      <c r="E12" s="6">
        <f>MAX(E8:E10)</f>
        <v>0</v>
      </c>
      <c r="F12" s="6">
        <f t="shared" ref="F12:K12" si="13">MAX(F8:F10)</f>
        <v>4.5185999999999997E-2</v>
      </c>
      <c r="G12" s="6">
        <f t="shared" si="13"/>
        <v>35.969078000000003</v>
      </c>
      <c r="H12" s="6">
        <f t="shared" si="13"/>
        <v>0</v>
      </c>
      <c r="I12" s="6">
        <f t="shared" si="13"/>
        <v>36.002732000000002</v>
      </c>
      <c r="J12" s="6">
        <f t="shared" si="13"/>
        <v>0</v>
      </c>
      <c r="K12" s="6">
        <f t="shared" si="13"/>
        <v>0</v>
      </c>
    </row>
    <row r="13" spans="1:11" x14ac:dyDescent="0.2">
      <c r="A13" s="4" t="s">
        <v>28</v>
      </c>
      <c r="B13" s="4" t="s">
        <v>4</v>
      </c>
      <c r="C13" s="4" t="s">
        <v>9</v>
      </c>
      <c r="D13" s="4" t="s">
        <v>10</v>
      </c>
      <c r="E13" s="6">
        <f>MIN(E8:E10)</f>
        <v>0</v>
      </c>
      <c r="F13" s="6">
        <f t="shared" ref="F13:K13" si="14">MIN(F8:F10)</f>
        <v>2.8802000000000001E-2</v>
      </c>
      <c r="G13" s="6">
        <f t="shared" si="14"/>
        <v>11.581394</v>
      </c>
      <c r="H13" s="6">
        <f t="shared" si="14"/>
        <v>0</v>
      </c>
      <c r="I13" s="6">
        <f t="shared" si="14"/>
        <v>11.610196</v>
      </c>
      <c r="J13" s="6">
        <f t="shared" si="14"/>
        <v>0</v>
      </c>
      <c r="K13" s="6">
        <f t="shared" si="14"/>
        <v>0</v>
      </c>
    </row>
    <row r="14" spans="1:11" x14ac:dyDescent="0.2">
      <c r="A14" s="4" t="s">
        <v>75</v>
      </c>
      <c r="B14" s="4" t="s">
        <v>4</v>
      </c>
      <c r="C14" s="4" t="s">
        <v>5</v>
      </c>
      <c r="D14" s="4" t="s">
        <v>7</v>
      </c>
      <c r="E14" s="5">
        <v>2.1159409999999998</v>
      </c>
      <c r="F14" s="5">
        <v>2.7165000000000002E-2</v>
      </c>
      <c r="G14" s="5">
        <v>29.747475000000001</v>
      </c>
      <c r="H14" s="5">
        <v>6.8425719999999997</v>
      </c>
      <c r="I14" s="6">
        <f>SUM(E14:H14)</f>
        <v>38.733153000000001</v>
      </c>
    </row>
    <row r="15" spans="1:11" x14ac:dyDescent="0.2">
      <c r="A15" s="4" t="s">
        <v>76</v>
      </c>
      <c r="B15" s="4" t="s">
        <v>4</v>
      </c>
      <c r="C15" s="4" t="s">
        <v>5</v>
      </c>
      <c r="D15" s="4" t="s">
        <v>7</v>
      </c>
      <c r="E15" s="5">
        <v>2.1966950000000001</v>
      </c>
      <c r="F15" s="5">
        <v>9.6181000000000003E-2</v>
      </c>
      <c r="G15" s="5">
        <v>14.322056</v>
      </c>
      <c r="H15" s="5">
        <v>7.0480179999999999</v>
      </c>
      <c r="I15" s="6">
        <f t="shared" ref="I15:I16" si="15">SUM(E15:H15)</f>
        <v>23.662949999999999</v>
      </c>
    </row>
    <row r="16" spans="1:11" x14ac:dyDescent="0.2">
      <c r="A16" s="4" t="s">
        <v>77</v>
      </c>
      <c r="B16" s="4" t="s">
        <v>4</v>
      </c>
      <c r="C16" s="4" t="s">
        <v>5</v>
      </c>
      <c r="D16" s="4" t="s">
        <v>7</v>
      </c>
      <c r="E16" s="5">
        <v>2.3871380000000002</v>
      </c>
      <c r="F16" s="5">
        <v>3.5660999999999998E-2</v>
      </c>
      <c r="G16" s="5">
        <v>13.998491</v>
      </c>
      <c r="H16" s="5">
        <v>7.5024100000000002</v>
      </c>
      <c r="I16" s="6">
        <f t="shared" si="15"/>
        <v>23.9237</v>
      </c>
    </row>
    <row r="17" spans="1:11" x14ac:dyDescent="0.2">
      <c r="A17" s="4" t="s">
        <v>24</v>
      </c>
      <c r="B17" s="4" t="s">
        <v>4</v>
      </c>
      <c r="C17" s="4" t="s">
        <v>5</v>
      </c>
      <c r="D17" s="4" t="s">
        <v>7</v>
      </c>
      <c r="E17" s="6">
        <f t="shared" ref="E17" si="16">SUM(E14:E16)/3</f>
        <v>2.2332579999999997</v>
      </c>
      <c r="F17" s="6">
        <f t="shared" ref="F17" si="17">SUM(F14:F16)/3</f>
        <v>5.3002333333333339E-2</v>
      </c>
      <c r="G17" s="6">
        <f t="shared" ref="G17" si="18">SUM(G14:G16)/3</f>
        <v>19.356007333333334</v>
      </c>
      <c r="H17" s="6">
        <f t="shared" ref="H17" si="19">SUM(H14:H16)/3</f>
        <v>7.1310000000000002</v>
      </c>
      <c r="I17" s="6">
        <f t="shared" ref="I17" si="20">SUM(I14:I16)/3</f>
        <v>28.773267666666666</v>
      </c>
      <c r="J17" s="6">
        <f t="shared" ref="J17" si="21">SUM(J14:J16)/3</f>
        <v>0</v>
      </c>
      <c r="K17" s="6">
        <f>SUM(K14:K16)/3</f>
        <v>0</v>
      </c>
    </row>
    <row r="18" spans="1:11" x14ac:dyDescent="0.2">
      <c r="A18" s="4" t="s">
        <v>25</v>
      </c>
      <c r="B18" s="4" t="s">
        <v>4</v>
      </c>
      <c r="C18" s="4" t="s">
        <v>5</v>
      </c>
      <c r="D18" s="4" t="s">
        <v>7</v>
      </c>
      <c r="E18" s="6">
        <f>MAX(E14:E16)</f>
        <v>2.3871380000000002</v>
      </c>
      <c r="F18" s="6">
        <f t="shared" ref="F18:K18" si="22">MAX(F14:F16)</f>
        <v>9.6181000000000003E-2</v>
      </c>
      <c r="G18" s="6">
        <f t="shared" si="22"/>
        <v>29.747475000000001</v>
      </c>
      <c r="H18" s="6">
        <f t="shared" si="22"/>
        <v>7.5024100000000002</v>
      </c>
      <c r="I18" s="6">
        <f t="shared" si="22"/>
        <v>38.733153000000001</v>
      </c>
      <c r="J18" s="6">
        <f t="shared" si="22"/>
        <v>0</v>
      </c>
      <c r="K18" s="6">
        <f t="shared" si="22"/>
        <v>0</v>
      </c>
    </row>
    <row r="19" spans="1:11" x14ac:dyDescent="0.2">
      <c r="A19" s="4" t="s">
        <v>29</v>
      </c>
      <c r="B19" s="4" t="s">
        <v>4</v>
      </c>
      <c r="C19" s="4" t="s">
        <v>5</v>
      </c>
      <c r="D19" s="4" t="s">
        <v>7</v>
      </c>
      <c r="E19" s="6">
        <f>MIN(E14:E16)</f>
        <v>2.1159409999999998</v>
      </c>
      <c r="F19" s="6">
        <f t="shared" ref="F19:K19" si="23">MIN(F14:F16)</f>
        <v>2.7165000000000002E-2</v>
      </c>
      <c r="G19" s="6">
        <f t="shared" si="23"/>
        <v>13.998491</v>
      </c>
      <c r="H19" s="6">
        <f t="shared" si="23"/>
        <v>6.8425719999999997</v>
      </c>
      <c r="I19" s="6">
        <f t="shared" si="23"/>
        <v>23.662949999999999</v>
      </c>
      <c r="J19" s="6">
        <f t="shared" si="23"/>
        <v>0</v>
      </c>
      <c r="K19" s="6">
        <f t="shared" si="23"/>
        <v>0</v>
      </c>
    </row>
    <row r="20" spans="1:11" x14ac:dyDescent="0.2">
      <c r="A20" s="4" t="s">
        <v>78</v>
      </c>
      <c r="B20" s="4" t="s">
        <v>4</v>
      </c>
      <c r="C20" s="4" t="s">
        <v>9</v>
      </c>
      <c r="D20" s="4" t="s">
        <v>11</v>
      </c>
      <c r="F20" s="5">
        <v>3.2593999999999998E-2</v>
      </c>
      <c r="G20" s="5">
        <v>32.232250000000001</v>
      </c>
      <c r="I20" s="6">
        <f>SUM(E20:H20)</f>
        <v>32.264844000000004</v>
      </c>
    </row>
    <row r="21" spans="1:11" x14ac:dyDescent="0.2">
      <c r="A21" s="4" t="s">
        <v>79</v>
      </c>
      <c r="B21" s="4" t="s">
        <v>4</v>
      </c>
      <c r="C21" s="4" t="s">
        <v>9</v>
      </c>
      <c r="D21" s="4" t="s">
        <v>11</v>
      </c>
      <c r="F21" s="5">
        <v>3.1040000000000002E-2</v>
      </c>
      <c r="G21" s="5">
        <v>34.932189000000001</v>
      </c>
      <c r="I21" s="6">
        <f t="shared" ref="I21:I22" si="24">SUM(E21:H21)</f>
        <v>34.963228999999998</v>
      </c>
    </row>
    <row r="22" spans="1:11" x14ac:dyDescent="0.2">
      <c r="A22" s="4" t="s">
        <v>80</v>
      </c>
      <c r="B22" s="4" t="s">
        <v>4</v>
      </c>
      <c r="C22" s="4" t="s">
        <v>9</v>
      </c>
      <c r="D22" s="4" t="s">
        <v>11</v>
      </c>
      <c r="F22" s="5">
        <v>5.2492999999999998E-2</v>
      </c>
      <c r="G22" s="5">
        <v>18.040427999999999</v>
      </c>
      <c r="I22" s="6">
        <f t="shared" si="24"/>
        <v>18.092920999999997</v>
      </c>
    </row>
    <row r="23" spans="1:11" x14ac:dyDescent="0.2">
      <c r="A23" s="4" t="s">
        <v>30</v>
      </c>
      <c r="B23" s="4" t="s">
        <v>4</v>
      </c>
      <c r="C23" s="4" t="s">
        <v>9</v>
      </c>
      <c r="D23" s="4" t="s">
        <v>11</v>
      </c>
      <c r="E23" s="6">
        <f t="shared" ref="E23" si="25">SUM(E20:E22)/3</f>
        <v>0</v>
      </c>
      <c r="F23" s="6">
        <f t="shared" ref="F23" si="26">SUM(F20:F22)/3</f>
        <v>3.8709E-2</v>
      </c>
      <c r="G23" s="6">
        <f t="shared" ref="G23" si="27">SUM(G20:G22)/3</f>
        <v>28.401622333333336</v>
      </c>
      <c r="H23" s="6">
        <f t="shared" ref="H23" si="28">SUM(H20:H22)/3</f>
        <v>0</v>
      </c>
      <c r="I23" s="6">
        <f t="shared" ref="I23" si="29">SUM(I20:I22)/3</f>
        <v>28.440331333333329</v>
      </c>
      <c r="J23" s="6">
        <f t="shared" ref="J23" si="30">SUM(J20:J22)/3</f>
        <v>0</v>
      </c>
      <c r="K23" s="6">
        <f>SUM(K20:K22)/3</f>
        <v>0</v>
      </c>
    </row>
    <row r="24" spans="1:11" x14ac:dyDescent="0.2">
      <c r="A24" s="4" t="s">
        <v>31</v>
      </c>
      <c r="B24" s="4" t="s">
        <v>4</v>
      </c>
      <c r="C24" s="4" t="s">
        <v>9</v>
      </c>
      <c r="D24" s="4" t="s">
        <v>11</v>
      </c>
      <c r="E24" s="6">
        <f>MAX(E20:E22)</f>
        <v>0</v>
      </c>
      <c r="F24" s="6">
        <f t="shared" ref="F24:K24" si="31">MAX(F20:F22)</f>
        <v>5.2492999999999998E-2</v>
      </c>
      <c r="G24" s="6">
        <f t="shared" si="31"/>
        <v>34.932189000000001</v>
      </c>
      <c r="H24" s="6">
        <f t="shared" si="31"/>
        <v>0</v>
      </c>
      <c r="I24" s="6">
        <f t="shared" si="31"/>
        <v>34.963228999999998</v>
      </c>
      <c r="J24" s="6">
        <f t="shared" si="31"/>
        <v>0</v>
      </c>
      <c r="K24" s="6">
        <f t="shared" si="31"/>
        <v>0</v>
      </c>
    </row>
    <row r="25" spans="1:11" x14ac:dyDescent="0.2">
      <c r="A25" s="4" t="s">
        <v>32</v>
      </c>
      <c r="B25" s="4" t="s">
        <v>4</v>
      </c>
      <c r="C25" s="4" t="s">
        <v>9</v>
      </c>
      <c r="D25" s="4" t="s">
        <v>11</v>
      </c>
      <c r="E25" s="6">
        <f>MIN(E20:E22)</f>
        <v>0</v>
      </c>
      <c r="F25" s="6">
        <f t="shared" ref="F25:K25" si="32">MIN(F20:F22)</f>
        <v>3.1040000000000002E-2</v>
      </c>
      <c r="G25" s="6">
        <f t="shared" si="32"/>
        <v>18.040427999999999</v>
      </c>
      <c r="H25" s="6">
        <f t="shared" si="32"/>
        <v>0</v>
      </c>
      <c r="I25" s="6">
        <f t="shared" si="32"/>
        <v>18.092920999999997</v>
      </c>
      <c r="J25" s="6">
        <f t="shared" si="32"/>
        <v>0</v>
      </c>
      <c r="K25" s="6">
        <f t="shared" si="32"/>
        <v>0</v>
      </c>
    </row>
    <row r="26" spans="1:11" x14ac:dyDescent="0.2">
      <c r="A26" s="4" t="s">
        <v>81</v>
      </c>
      <c r="B26" s="4" t="s">
        <v>4</v>
      </c>
      <c r="C26" s="4" t="s">
        <v>5</v>
      </c>
      <c r="D26" s="4" t="s">
        <v>8</v>
      </c>
      <c r="E26" s="5">
        <v>1.7868299999999999</v>
      </c>
      <c r="F26" s="5">
        <v>3.3845E-2</v>
      </c>
      <c r="G26" s="5">
        <v>28.639216999999999</v>
      </c>
      <c r="H26" s="5">
        <v>4.6458459999999997</v>
      </c>
      <c r="I26" s="6">
        <f>SUM(E26:H26)</f>
        <v>35.105738000000002</v>
      </c>
    </row>
    <row r="27" spans="1:11" x14ac:dyDescent="0.2">
      <c r="A27" s="4" t="s">
        <v>82</v>
      </c>
      <c r="B27" s="4" t="s">
        <v>4</v>
      </c>
      <c r="C27" s="4" t="s">
        <v>5</v>
      </c>
      <c r="D27" s="4" t="s">
        <v>8</v>
      </c>
      <c r="E27" s="5">
        <v>1.6840949999999999</v>
      </c>
      <c r="F27" s="5">
        <v>2.6700000000000002E-2</v>
      </c>
      <c r="G27" s="5">
        <v>9.5623500000000003</v>
      </c>
      <c r="H27" s="5">
        <v>5.8778839999999999</v>
      </c>
      <c r="I27" s="6">
        <f t="shared" ref="I27:I28" si="33">SUM(E27:H27)</f>
        <v>17.151029000000001</v>
      </c>
    </row>
    <row r="28" spans="1:11" x14ac:dyDescent="0.2">
      <c r="A28" s="4" t="s">
        <v>83</v>
      </c>
      <c r="B28" s="4" t="s">
        <v>4</v>
      </c>
      <c r="C28" s="4" t="s">
        <v>5</v>
      </c>
      <c r="D28" s="4" t="s">
        <v>8</v>
      </c>
      <c r="E28" s="5">
        <v>1.7918700000000001</v>
      </c>
      <c r="F28" s="5">
        <v>3.2906999999999999E-2</v>
      </c>
      <c r="G28" s="5">
        <v>13.906044</v>
      </c>
      <c r="H28" s="5">
        <v>7.8968610000000004</v>
      </c>
      <c r="I28" s="6">
        <f t="shared" si="33"/>
        <v>23.627682</v>
      </c>
    </row>
    <row r="29" spans="1:11" x14ac:dyDescent="0.2">
      <c r="A29" s="4" t="s">
        <v>33</v>
      </c>
      <c r="B29" s="4" t="s">
        <v>4</v>
      </c>
      <c r="C29" s="4" t="s">
        <v>5</v>
      </c>
      <c r="D29" s="4" t="s">
        <v>8</v>
      </c>
      <c r="E29" s="6">
        <f t="shared" ref="E29" si="34">SUM(E26:E28)/3</f>
        <v>1.754265</v>
      </c>
      <c r="F29" s="6">
        <f t="shared" ref="F29" si="35">SUM(F26:F28)/3</f>
        <v>3.115066666666667E-2</v>
      </c>
      <c r="G29" s="6">
        <f t="shared" ref="G29" si="36">SUM(G26:G28)/3</f>
        <v>17.369203666666667</v>
      </c>
      <c r="H29" s="6">
        <f t="shared" ref="H29" si="37">SUM(H26:H28)/3</f>
        <v>6.1401970000000006</v>
      </c>
      <c r="I29" s="6">
        <f t="shared" ref="I29" si="38">SUM(I26:I28)/3</f>
        <v>25.294816333333333</v>
      </c>
      <c r="J29" s="6">
        <f t="shared" ref="J29" si="39">SUM(J26:J28)/3</f>
        <v>0</v>
      </c>
      <c r="K29" s="6">
        <f>SUM(K26:K28)/3</f>
        <v>0</v>
      </c>
    </row>
    <row r="30" spans="1:11" x14ac:dyDescent="0.2">
      <c r="A30" s="4" t="s">
        <v>34</v>
      </c>
      <c r="B30" s="4" t="s">
        <v>4</v>
      </c>
      <c r="C30" s="4" t="s">
        <v>5</v>
      </c>
      <c r="D30" s="4" t="s">
        <v>8</v>
      </c>
      <c r="E30" s="6">
        <f>MAX(E26:E28)</f>
        <v>1.7918700000000001</v>
      </c>
      <c r="F30" s="6">
        <f t="shared" ref="F30:K30" si="40">MAX(F26:F28)</f>
        <v>3.3845E-2</v>
      </c>
      <c r="G30" s="6">
        <f t="shared" si="40"/>
        <v>28.639216999999999</v>
      </c>
      <c r="H30" s="6">
        <f t="shared" si="40"/>
        <v>7.8968610000000004</v>
      </c>
      <c r="I30" s="6">
        <f t="shared" si="40"/>
        <v>35.105738000000002</v>
      </c>
      <c r="J30" s="6">
        <f t="shared" si="40"/>
        <v>0</v>
      </c>
      <c r="K30" s="6">
        <f t="shared" si="40"/>
        <v>0</v>
      </c>
    </row>
    <row r="31" spans="1:11" x14ac:dyDescent="0.2">
      <c r="A31" s="4" t="s">
        <v>35</v>
      </c>
      <c r="B31" s="4" t="s">
        <v>4</v>
      </c>
      <c r="C31" s="4" t="s">
        <v>5</v>
      </c>
      <c r="D31" s="4" t="s">
        <v>8</v>
      </c>
      <c r="E31" s="6">
        <f>MIN(E26:E28)</f>
        <v>1.6840949999999999</v>
      </c>
      <c r="F31" s="6">
        <f t="shared" ref="F31:K31" si="41">MIN(F26:F28)</f>
        <v>2.6700000000000002E-2</v>
      </c>
      <c r="G31" s="6">
        <f t="shared" si="41"/>
        <v>9.5623500000000003</v>
      </c>
      <c r="H31" s="6">
        <f t="shared" si="41"/>
        <v>4.6458459999999997</v>
      </c>
      <c r="I31" s="6">
        <f t="shared" si="41"/>
        <v>17.151029000000001</v>
      </c>
      <c r="J31" s="6">
        <f t="shared" si="41"/>
        <v>0</v>
      </c>
      <c r="K31" s="6">
        <f t="shared" si="41"/>
        <v>0</v>
      </c>
    </row>
    <row r="32" spans="1:11" x14ac:dyDescent="0.2">
      <c r="A32" s="4" t="s">
        <v>84</v>
      </c>
      <c r="B32" s="4" t="s">
        <v>4</v>
      </c>
      <c r="C32" s="4" t="s">
        <v>9</v>
      </c>
      <c r="D32" s="4" t="s">
        <v>12</v>
      </c>
      <c r="F32" s="5">
        <v>2.7205E-2</v>
      </c>
      <c r="G32" s="5">
        <v>5.5490919999999999</v>
      </c>
      <c r="I32" s="6">
        <f>SUM(E32:H32)</f>
        <v>5.5762970000000003</v>
      </c>
    </row>
    <row r="33" spans="1:11" x14ac:dyDescent="0.2">
      <c r="A33" s="4" t="s">
        <v>85</v>
      </c>
      <c r="B33" s="4" t="s">
        <v>4</v>
      </c>
      <c r="C33" s="4" t="s">
        <v>9</v>
      </c>
      <c r="D33" s="4" t="s">
        <v>12</v>
      </c>
      <c r="F33" s="5">
        <v>2.7587E-2</v>
      </c>
      <c r="G33" s="5">
        <v>5.3003780000000003</v>
      </c>
      <c r="I33" s="6">
        <f t="shared" ref="I33:I34" si="42">SUM(E33:H33)</f>
        <v>5.3279649999999998</v>
      </c>
    </row>
    <row r="34" spans="1:11" x14ac:dyDescent="0.2">
      <c r="A34" s="4" t="s">
        <v>86</v>
      </c>
      <c r="B34" s="4" t="s">
        <v>4</v>
      </c>
      <c r="C34" s="4" t="s">
        <v>9</v>
      </c>
      <c r="D34" s="4" t="s">
        <v>12</v>
      </c>
      <c r="F34" s="5">
        <v>2.7814999999999999E-2</v>
      </c>
      <c r="G34" s="5">
        <v>8.0270569999999992</v>
      </c>
      <c r="I34" s="6">
        <f t="shared" si="42"/>
        <v>8.0548719999999996</v>
      </c>
    </row>
    <row r="35" spans="1:11" x14ac:dyDescent="0.2">
      <c r="A35" s="4" t="s">
        <v>36</v>
      </c>
      <c r="B35" s="4" t="s">
        <v>4</v>
      </c>
      <c r="C35" s="4" t="s">
        <v>9</v>
      </c>
      <c r="D35" s="4" t="s">
        <v>12</v>
      </c>
      <c r="E35" s="6">
        <f t="shared" ref="E35" si="43">SUM(E32:E34)/3</f>
        <v>0</v>
      </c>
      <c r="F35" s="6">
        <f t="shared" ref="F35" si="44">SUM(F32:F34)/3</f>
        <v>2.7535666666666667E-2</v>
      </c>
      <c r="G35" s="6">
        <f t="shared" ref="G35" si="45">SUM(G32:G34)/3</f>
        <v>6.2921756666666662</v>
      </c>
      <c r="H35" s="6">
        <f t="shared" ref="H35" si="46">SUM(H32:H34)/3</f>
        <v>0</v>
      </c>
      <c r="I35" s="6">
        <f t="shared" ref="I35" si="47">SUM(I32:I34)/3</f>
        <v>6.3197113333333332</v>
      </c>
      <c r="J35" s="6">
        <f t="shared" ref="J35" si="48">SUM(J32:J34)/3</f>
        <v>0</v>
      </c>
      <c r="K35" s="6">
        <f>SUM(K32:K34)/3</f>
        <v>0</v>
      </c>
    </row>
    <row r="36" spans="1:11" x14ac:dyDescent="0.2">
      <c r="A36" s="4" t="s">
        <v>37</v>
      </c>
      <c r="B36" s="4" t="s">
        <v>4</v>
      </c>
      <c r="C36" s="4" t="s">
        <v>9</v>
      </c>
      <c r="D36" s="4" t="s">
        <v>12</v>
      </c>
      <c r="E36" s="6">
        <f>MAX(E32:E34)</f>
        <v>0</v>
      </c>
      <c r="F36" s="6">
        <f t="shared" ref="F36:K36" si="49">MAX(F32:F34)</f>
        <v>2.7814999999999999E-2</v>
      </c>
      <c r="G36" s="6">
        <f t="shared" si="49"/>
        <v>8.0270569999999992</v>
      </c>
      <c r="H36" s="6">
        <f t="shared" si="49"/>
        <v>0</v>
      </c>
      <c r="I36" s="6">
        <f t="shared" si="49"/>
        <v>8.0548719999999996</v>
      </c>
      <c r="J36" s="6">
        <f t="shared" si="49"/>
        <v>0</v>
      </c>
      <c r="K36" s="6">
        <f t="shared" si="49"/>
        <v>0</v>
      </c>
    </row>
    <row r="37" spans="1:11" x14ac:dyDescent="0.2">
      <c r="A37" s="4" t="s">
        <v>38</v>
      </c>
      <c r="B37" s="4" t="s">
        <v>4</v>
      </c>
      <c r="C37" s="4" t="s">
        <v>9</v>
      </c>
      <c r="D37" s="4" t="s">
        <v>12</v>
      </c>
      <c r="E37" s="6">
        <f>MIN(E32:E34)</f>
        <v>0</v>
      </c>
      <c r="F37" s="6">
        <f t="shared" ref="F37:K37" si="50">MIN(F32:F34)</f>
        <v>2.7205E-2</v>
      </c>
      <c r="G37" s="6">
        <f t="shared" si="50"/>
        <v>5.3003780000000003</v>
      </c>
      <c r="H37" s="6">
        <f t="shared" si="50"/>
        <v>0</v>
      </c>
      <c r="I37" s="6">
        <f t="shared" si="50"/>
        <v>5.3279649999999998</v>
      </c>
      <c r="J37" s="6">
        <f t="shared" si="50"/>
        <v>0</v>
      </c>
      <c r="K37" s="6">
        <f t="shared" si="50"/>
        <v>0</v>
      </c>
    </row>
    <row r="38" spans="1:11" x14ac:dyDescent="0.2">
      <c r="A38" s="4" t="s">
        <v>87</v>
      </c>
      <c r="B38" s="4" t="s">
        <v>4</v>
      </c>
      <c r="C38" s="4" t="s">
        <v>5</v>
      </c>
      <c r="D38" s="4" t="s">
        <v>14</v>
      </c>
      <c r="E38" s="5">
        <v>1.8760129999999999</v>
      </c>
      <c r="F38" s="5">
        <v>2.7193999999999999E-2</v>
      </c>
      <c r="G38" s="5">
        <v>32.340364000000001</v>
      </c>
      <c r="H38" s="5">
        <v>5.2206080000000004</v>
      </c>
      <c r="I38" s="6">
        <f>SUM(E38:H38)</f>
        <v>39.464179000000001</v>
      </c>
    </row>
    <row r="39" spans="1:11" x14ac:dyDescent="0.2">
      <c r="A39" s="4" t="s">
        <v>88</v>
      </c>
      <c r="B39" s="4" t="s">
        <v>4</v>
      </c>
      <c r="C39" s="4" t="s">
        <v>5</v>
      </c>
      <c r="D39" s="4" t="s">
        <v>14</v>
      </c>
      <c r="E39" s="5">
        <v>1.9725839999999999</v>
      </c>
      <c r="F39" s="5">
        <v>3.3087999999999999E-2</v>
      </c>
      <c r="G39" s="5">
        <v>19.389548999999999</v>
      </c>
      <c r="H39" s="5">
        <v>10.060079</v>
      </c>
      <c r="I39" s="6">
        <f t="shared" ref="I39:I40" si="51">SUM(E39:H39)</f>
        <v>31.455300000000001</v>
      </c>
    </row>
    <row r="40" spans="1:11" x14ac:dyDescent="0.2">
      <c r="A40" s="4" t="s">
        <v>89</v>
      </c>
      <c r="B40" s="4" t="s">
        <v>4</v>
      </c>
      <c r="C40" s="4" t="s">
        <v>5</v>
      </c>
      <c r="D40" s="4" t="s">
        <v>14</v>
      </c>
      <c r="E40" s="5">
        <v>1.960305</v>
      </c>
      <c r="F40" s="5">
        <v>2.5578E-2</v>
      </c>
      <c r="G40" s="5">
        <v>9.2852879999999995</v>
      </c>
      <c r="H40" s="5">
        <v>5.428928</v>
      </c>
      <c r="I40" s="6">
        <f t="shared" si="51"/>
        <v>16.700098999999998</v>
      </c>
    </row>
    <row r="41" spans="1:11" x14ac:dyDescent="0.2">
      <c r="A41" s="4" t="s">
        <v>39</v>
      </c>
      <c r="B41" s="4" t="s">
        <v>4</v>
      </c>
      <c r="C41" s="4" t="s">
        <v>5</v>
      </c>
      <c r="D41" s="4" t="s">
        <v>14</v>
      </c>
      <c r="E41" s="6">
        <f t="shared" ref="E41" si="52">SUM(E38:E40)/3</f>
        <v>1.9363006666666667</v>
      </c>
      <c r="F41" s="6">
        <f t="shared" ref="F41" si="53">SUM(F38:F40)/3</f>
        <v>2.8620000000000003E-2</v>
      </c>
      <c r="G41" s="6">
        <f t="shared" ref="G41" si="54">SUM(G38:G40)/3</f>
        <v>20.338400333333333</v>
      </c>
      <c r="H41" s="6">
        <f t="shared" ref="H41" si="55">SUM(H38:H40)/3</f>
        <v>6.9032049999999998</v>
      </c>
      <c r="I41" s="6">
        <f t="shared" ref="I41" si="56">SUM(I38:I40)/3</f>
        <v>29.206525999999997</v>
      </c>
      <c r="J41" s="6">
        <f t="shared" ref="J41" si="57">SUM(J38:J40)/3</f>
        <v>0</v>
      </c>
      <c r="K41" s="6">
        <f>SUM(K38:K40)/3</f>
        <v>0</v>
      </c>
    </row>
    <row r="42" spans="1:11" x14ac:dyDescent="0.2">
      <c r="A42" s="4" t="s">
        <v>40</v>
      </c>
      <c r="B42" s="4" t="s">
        <v>4</v>
      </c>
      <c r="C42" s="4" t="s">
        <v>5</v>
      </c>
      <c r="D42" s="4" t="s">
        <v>14</v>
      </c>
      <c r="E42" s="6">
        <f>MAX(E38:E40)</f>
        <v>1.9725839999999999</v>
      </c>
      <c r="F42" s="6">
        <f t="shared" ref="F42:K42" si="58">MAX(F38:F40)</f>
        <v>3.3087999999999999E-2</v>
      </c>
      <c r="G42" s="6">
        <f t="shared" si="58"/>
        <v>32.340364000000001</v>
      </c>
      <c r="H42" s="6">
        <f t="shared" si="58"/>
        <v>10.060079</v>
      </c>
      <c r="I42" s="6">
        <f t="shared" si="58"/>
        <v>39.464179000000001</v>
      </c>
      <c r="J42" s="6">
        <f t="shared" si="58"/>
        <v>0</v>
      </c>
      <c r="K42" s="6">
        <f t="shared" si="58"/>
        <v>0</v>
      </c>
    </row>
    <row r="43" spans="1:11" x14ac:dyDescent="0.2">
      <c r="A43" s="4" t="s">
        <v>41</v>
      </c>
      <c r="B43" s="4" t="s">
        <v>4</v>
      </c>
      <c r="C43" s="4" t="s">
        <v>5</v>
      </c>
      <c r="D43" s="4" t="s">
        <v>14</v>
      </c>
      <c r="E43" s="6">
        <f>MIN(E38:E40)</f>
        <v>1.8760129999999999</v>
      </c>
      <c r="F43" s="6">
        <f t="shared" ref="F43:K43" si="59">MIN(F38:F40)</f>
        <v>2.5578E-2</v>
      </c>
      <c r="G43" s="6">
        <f t="shared" si="59"/>
        <v>9.2852879999999995</v>
      </c>
      <c r="H43" s="6">
        <f t="shared" si="59"/>
        <v>5.2206080000000004</v>
      </c>
      <c r="I43" s="6">
        <f t="shared" si="59"/>
        <v>16.700098999999998</v>
      </c>
      <c r="J43" s="6">
        <f t="shared" si="59"/>
        <v>0</v>
      </c>
      <c r="K43" s="6">
        <f t="shared" si="59"/>
        <v>0</v>
      </c>
    </row>
    <row r="44" spans="1:11" x14ac:dyDescent="0.2">
      <c r="A44" s="4" t="s">
        <v>90</v>
      </c>
      <c r="B44" s="4" t="s">
        <v>4</v>
      </c>
      <c r="C44" s="4" t="s">
        <v>9</v>
      </c>
      <c r="D44" s="4" t="s">
        <v>15</v>
      </c>
      <c r="F44" s="5">
        <v>3.5549999999999998E-2</v>
      </c>
      <c r="G44" s="5">
        <v>24.031808000000002</v>
      </c>
      <c r="I44" s="6">
        <f>SUM(E44:H44)</f>
        <v>24.067358000000002</v>
      </c>
    </row>
    <row r="45" spans="1:11" x14ac:dyDescent="0.2">
      <c r="A45" s="4" t="s">
        <v>91</v>
      </c>
      <c r="B45" s="4" t="s">
        <v>4</v>
      </c>
      <c r="C45" s="4" t="s">
        <v>9</v>
      </c>
      <c r="D45" s="4" t="s">
        <v>15</v>
      </c>
      <c r="F45" s="5">
        <v>3.1739000000000003E-2</v>
      </c>
      <c r="G45" s="5">
        <v>6.0485829999999998</v>
      </c>
      <c r="I45" s="6">
        <f t="shared" ref="I45:I46" si="60">SUM(E45:H45)</f>
        <v>6.0803219999999998</v>
      </c>
    </row>
    <row r="46" spans="1:11" x14ac:dyDescent="0.2">
      <c r="A46" s="4" t="s">
        <v>92</v>
      </c>
      <c r="B46" s="4" t="s">
        <v>4</v>
      </c>
      <c r="C46" s="4" t="s">
        <v>9</v>
      </c>
      <c r="D46" s="4" t="s">
        <v>15</v>
      </c>
      <c r="F46" s="5">
        <v>2.8069E-2</v>
      </c>
      <c r="G46" s="5">
        <v>23.483711</v>
      </c>
      <c r="I46" s="6">
        <f t="shared" si="60"/>
        <v>23.511779999999998</v>
      </c>
    </row>
    <row r="47" spans="1:11" x14ac:dyDescent="0.2">
      <c r="A47" s="4" t="s">
        <v>42</v>
      </c>
      <c r="B47" s="4" t="s">
        <v>4</v>
      </c>
      <c r="C47" s="4" t="s">
        <v>9</v>
      </c>
      <c r="D47" s="4" t="s">
        <v>15</v>
      </c>
      <c r="E47" s="6">
        <f t="shared" ref="E47" si="61">SUM(E44:E46)/3</f>
        <v>0</v>
      </c>
      <c r="F47" s="6">
        <f t="shared" ref="F47" si="62">SUM(F44:F46)/3</f>
        <v>3.1786000000000002E-2</v>
      </c>
      <c r="G47" s="6">
        <f t="shared" ref="G47" si="63">SUM(G44:G46)/3</f>
        <v>17.85470066666667</v>
      </c>
      <c r="H47" s="6">
        <f t="shared" ref="H47" si="64">SUM(H44:H46)/3</f>
        <v>0</v>
      </c>
      <c r="I47" s="6">
        <f t="shared" ref="I47" si="65">SUM(I44:I46)/3</f>
        <v>17.886486666666666</v>
      </c>
      <c r="J47" s="6">
        <f t="shared" ref="J47" si="66">SUM(J44:J46)/3</f>
        <v>0</v>
      </c>
      <c r="K47" s="6">
        <f>SUM(K44:K46)/3</f>
        <v>0</v>
      </c>
    </row>
    <row r="48" spans="1:11" x14ac:dyDescent="0.2">
      <c r="A48" s="4" t="s">
        <v>43</v>
      </c>
      <c r="B48" s="4" t="s">
        <v>4</v>
      </c>
      <c r="C48" s="4" t="s">
        <v>9</v>
      </c>
      <c r="D48" s="4" t="s">
        <v>15</v>
      </c>
      <c r="E48" s="6">
        <f>MAX(E44:E46)</f>
        <v>0</v>
      </c>
      <c r="F48" s="6">
        <f t="shared" ref="F48:K48" si="67">MAX(F44:F46)</f>
        <v>3.5549999999999998E-2</v>
      </c>
      <c r="G48" s="6">
        <f t="shared" si="67"/>
        <v>24.031808000000002</v>
      </c>
      <c r="H48" s="6">
        <f t="shared" si="67"/>
        <v>0</v>
      </c>
      <c r="I48" s="6">
        <f t="shared" si="67"/>
        <v>24.067358000000002</v>
      </c>
      <c r="J48" s="6">
        <f t="shared" si="67"/>
        <v>0</v>
      </c>
      <c r="K48" s="6">
        <f t="shared" si="67"/>
        <v>0</v>
      </c>
    </row>
    <row r="49" spans="1:11" x14ac:dyDescent="0.2">
      <c r="A49" s="4" t="s">
        <v>44</v>
      </c>
      <c r="B49" s="4" t="s">
        <v>4</v>
      </c>
      <c r="C49" s="4" t="s">
        <v>9</v>
      </c>
      <c r="D49" s="4" t="s">
        <v>15</v>
      </c>
      <c r="E49" s="6">
        <f>MIN(E44:E46)</f>
        <v>0</v>
      </c>
      <c r="F49" s="6">
        <f t="shared" ref="F49:K49" si="68">MIN(F44:F46)</f>
        <v>2.8069E-2</v>
      </c>
      <c r="G49" s="6">
        <f t="shared" si="68"/>
        <v>6.0485829999999998</v>
      </c>
      <c r="H49" s="6">
        <f t="shared" si="68"/>
        <v>0</v>
      </c>
      <c r="I49" s="6">
        <f t="shared" si="68"/>
        <v>6.0803219999999998</v>
      </c>
      <c r="J49" s="6">
        <f t="shared" si="68"/>
        <v>0</v>
      </c>
      <c r="K49" s="6">
        <f t="shared" si="68"/>
        <v>0</v>
      </c>
    </row>
    <row r="50" spans="1:11" x14ac:dyDescent="0.2">
      <c r="A50" s="4" t="s">
        <v>93</v>
      </c>
      <c r="B50" s="4" t="s">
        <v>13</v>
      </c>
      <c r="C50" s="4" t="s">
        <v>5</v>
      </c>
      <c r="D50" s="4" t="s">
        <v>6</v>
      </c>
      <c r="E50" s="5">
        <v>1.795234</v>
      </c>
      <c r="F50" s="5">
        <v>2.1576999999999999E-2</v>
      </c>
      <c r="G50" s="5">
        <v>11.664282</v>
      </c>
      <c r="H50" s="5">
        <v>7.8170029999999997</v>
      </c>
      <c r="I50" s="6">
        <f>SUM(E50:H50)</f>
        <v>21.298096000000001</v>
      </c>
    </row>
    <row r="51" spans="1:11" x14ac:dyDescent="0.2">
      <c r="A51" s="4" t="s">
        <v>94</v>
      </c>
      <c r="B51" s="4" t="s">
        <v>13</v>
      </c>
      <c r="C51" s="4" t="s">
        <v>5</v>
      </c>
      <c r="D51" s="4" t="s">
        <v>6</v>
      </c>
      <c r="E51" s="5">
        <v>1.809466</v>
      </c>
      <c r="F51" s="5">
        <v>2.7004E-2</v>
      </c>
      <c r="G51" s="5">
        <v>12.561980999999999</v>
      </c>
      <c r="H51" s="5">
        <v>8.6574310000000008</v>
      </c>
      <c r="I51" s="6">
        <f t="shared" ref="I51:I52" si="69">SUM(E51:H51)</f>
        <v>23.055882</v>
      </c>
    </row>
    <row r="52" spans="1:11" x14ac:dyDescent="0.2">
      <c r="A52" s="4" t="s">
        <v>95</v>
      </c>
      <c r="B52" s="4" t="s">
        <v>13</v>
      </c>
      <c r="C52" s="4" t="s">
        <v>5</v>
      </c>
      <c r="D52" s="4" t="s">
        <v>6</v>
      </c>
      <c r="E52" s="5">
        <v>1.805253</v>
      </c>
      <c r="F52" s="5">
        <v>3.1786000000000002E-2</v>
      </c>
      <c r="G52" s="5">
        <v>8.7276930000000004</v>
      </c>
      <c r="H52" s="5">
        <v>6.3312039999999996</v>
      </c>
      <c r="I52" s="6">
        <f t="shared" si="69"/>
        <v>16.895935999999999</v>
      </c>
    </row>
    <row r="53" spans="1:11" x14ac:dyDescent="0.2">
      <c r="A53" s="4" t="s">
        <v>45</v>
      </c>
      <c r="B53" s="4" t="s">
        <v>13</v>
      </c>
      <c r="C53" s="4" t="s">
        <v>5</v>
      </c>
      <c r="D53" s="4" t="s">
        <v>6</v>
      </c>
      <c r="E53" s="6">
        <f t="shared" ref="E53" si="70">SUM(E50:E52)/3</f>
        <v>1.8033176666666666</v>
      </c>
      <c r="F53" s="6">
        <f t="shared" ref="F53" si="71">SUM(F50:F52)/3</f>
        <v>2.6788999999999997E-2</v>
      </c>
      <c r="G53" s="6">
        <f t="shared" ref="G53" si="72">SUM(G50:G52)/3</f>
        <v>10.984651999999999</v>
      </c>
      <c r="H53" s="6">
        <f t="shared" ref="H53" si="73">SUM(H50:H52)/3</f>
        <v>7.6018793333333337</v>
      </c>
      <c r="I53" s="6">
        <f t="shared" ref="I53" si="74">SUM(I50:I52)/3</f>
        <v>20.416637999999999</v>
      </c>
      <c r="J53" s="6">
        <f t="shared" ref="J53" si="75">SUM(J50:J52)/3</f>
        <v>0</v>
      </c>
      <c r="K53" s="6">
        <f>SUM(K50:K52)/3</f>
        <v>0</v>
      </c>
    </row>
    <row r="54" spans="1:11" x14ac:dyDescent="0.2">
      <c r="A54" s="4" t="s">
        <v>46</v>
      </c>
      <c r="B54" s="4" t="s">
        <v>13</v>
      </c>
      <c r="C54" s="4" t="s">
        <v>5</v>
      </c>
      <c r="D54" s="4" t="s">
        <v>6</v>
      </c>
      <c r="E54" s="6">
        <f>MAX(E50:E52)</f>
        <v>1.809466</v>
      </c>
      <c r="F54" s="6">
        <f t="shared" ref="F54:K54" si="76">MAX(F50:F52)</f>
        <v>3.1786000000000002E-2</v>
      </c>
      <c r="G54" s="6">
        <f t="shared" si="76"/>
        <v>12.561980999999999</v>
      </c>
      <c r="H54" s="6">
        <f t="shared" si="76"/>
        <v>8.6574310000000008</v>
      </c>
      <c r="I54" s="6">
        <f t="shared" si="76"/>
        <v>23.055882</v>
      </c>
      <c r="J54" s="6">
        <f t="shared" si="76"/>
        <v>0</v>
      </c>
      <c r="K54" s="6">
        <f t="shared" si="76"/>
        <v>0</v>
      </c>
    </row>
    <row r="55" spans="1:11" x14ac:dyDescent="0.2">
      <c r="A55" s="4" t="s">
        <v>47</v>
      </c>
      <c r="B55" s="4" t="s">
        <v>13</v>
      </c>
      <c r="C55" s="4" t="s">
        <v>5</v>
      </c>
      <c r="D55" s="4" t="s">
        <v>6</v>
      </c>
      <c r="E55" s="6">
        <f>MIN(E50:E52)</f>
        <v>1.795234</v>
      </c>
      <c r="F55" s="6">
        <f t="shared" ref="F55:K55" si="77">MIN(F50:F52)</f>
        <v>2.1576999999999999E-2</v>
      </c>
      <c r="G55" s="6">
        <f t="shared" si="77"/>
        <v>8.7276930000000004</v>
      </c>
      <c r="H55" s="6">
        <f t="shared" si="77"/>
        <v>6.3312039999999996</v>
      </c>
      <c r="I55" s="6">
        <f t="shared" si="77"/>
        <v>16.895935999999999</v>
      </c>
      <c r="J55" s="6">
        <f t="shared" si="77"/>
        <v>0</v>
      </c>
      <c r="K55" s="6">
        <f t="shared" si="77"/>
        <v>0</v>
      </c>
    </row>
    <row r="56" spans="1:11" x14ac:dyDescent="0.2">
      <c r="A56" s="4" t="s">
        <v>96</v>
      </c>
      <c r="B56" s="4" t="s">
        <v>13</v>
      </c>
      <c r="C56" s="4" t="s">
        <v>9</v>
      </c>
      <c r="D56" s="4" t="s">
        <v>10</v>
      </c>
      <c r="F56" s="5">
        <v>2.6727000000000001E-2</v>
      </c>
      <c r="G56" s="5">
        <v>20.038392000000002</v>
      </c>
      <c r="I56" s="6">
        <f>SUM(E56:H56)</f>
        <v>20.065119000000003</v>
      </c>
    </row>
    <row r="57" spans="1:11" x14ac:dyDescent="0.2">
      <c r="A57" s="4" t="s">
        <v>97</v>
      </c>
      <c r="B57" s="4" t="s">
        <v>13</v>
      </c>
      <c r="C57" s="4" t="s">
        <v>9</v>
      </c>
      <c r="D57" s="4" t="s">
        <v>10</v>
      </c>
      <c r="F57" s="5">
        <v>2.4140000000000002E-2</v>
      </c>
      <c r="G57" s="5">
        <v>21.107754</v>
      </c>
      <c r="I57" s="6">
        <f t="shared" ref="I57:I58" si="78">SUM(E57:H57)</f>
        <v>21.131893999999999</v>
      </c>
    </row>
    <row r="58" spans="1:11" x14ac:dyDescent="0.2">
      <c r="A58" s="4" t="s">
        <v>98</v>
      </c>
      <c r="B58" s="4" t="s">
        <v>13</v>
      </c>
      <c r="C58" s="4" t="s">
        <v>9</v>
      </c>
      <c r="D58" s="4" t="s">
        <v>10</v>
      </c>
      <c r="F58" s="5">
        <v>2.5274999999999999E-2</v>
      </c>
      <c r="G58" s="5">
        <v>21.735233000000001</v>
      </c>
      <c r="I58" s="6">
        <f t="shared" si="78"/>
        <v>21.760508000000002</v>
      </c>
    </row>
    <row r="59" spans="1:11" x14ac:dyDescent="0.2">
      <c r="A59" s="4" t="s">
        <v>48</v>
      </c>
      <c r="B59" s="4" t="s">
        <v>13</v>
      </c>
      <c r="C59" s="4" t="s">
        <v>9</v>
      </c>
      <c r="D59" s="4" t="s">
        <v>10</v>
      </c>
      <c r="E59" s="6">
        <f t="shared" ref="E59" si="79">SUM(E56:E58)/3</f>
        <v>0</v>
      </c>
      <c r="F59" s="6">
        <f t="shared" ref="F59" si="80">SUM(F56:F58)/3</f>
        <v>2.5380666666666666E-2</v>
      </c>
      <c r="G59" s="6">
        <f t="shared" ref="G59" si="81">SUM(G56:G58)/3</f>
        <v>20.960459666666669</v>
      </c>
      <c r="H59" s="6">
        <f t="shared" ref="H59" si="82">SUM(H56:H58)/3</f>
        <v>0</v>
      </c>
      <c r="I59" s="6">
        <f t="shared" ref="I59" si="83">SUM(I56:I58)/3</f>
        <v>20.985840333333332</v>
      </c>
      <c r="J59" s="6">
        <f t="shared" ref="J59" si="84">SUM(J56:J58)/3</f>
        <v>0</v>
      </c>
      <c r="K59" s="6">
        <f>SUM(K56:K58)/3</f>
        <v>0</v>
      </c>
    </row>
    <row r="60" spans="1:11" x14ac:dyDescent="0.2">
      <c r="A60" s="4" t="s">
        <v>49</v>
      </c>
      <c r="B60" s="4" t="s">
        <v>13</v>
      </c>
      <c r="C60" s="4" t="s">
        <v>9</v>
      </c>
      <c r="D60" s="4" t="s">
        <v>10</v>
      </c>
      <c r="E60" s="6">
        <f>MAX(E56:E58)</f>
        <v>0</v>
      </c>
      <c r="F60" s="6">
        <f t="shared" ref="F60:K60" si="85">MAX(F56:F58)</f>
        <v>2.6727000000000001E-2</v>
      </c>
      <c r="G60" s="6">
        <f t="shared" si="85"/>
        <v>21.735233000000001</v>
      </c>
      <c r="H60" s="6">
        <f t="shared" si="85"/>
        <v>0</v>
      </c>
      <c r="I60" s="6">
        <f t="shared" si="85"/>
        <v>21.760508000000002</v>
      </c>
      <c r="J60" s="6">
        <f t="shared" si="85"/>
        <v>0</v>
      </c>
      <c r="K60" s="6">
        <f t="shared" si="85"/>
        <v>0</v>
      </c>
    </row>
    <row r="61" spans="1:11" x14ac:dyDescent="0.2">
      <c r="A61" s="4" t="s">
        <v>50</v>
      </c>
      <c r="B61" s="4" t="s">
        <v>13</v>
      </c>
      <c r="C61" s="4" t="s">
        <v>9</v>
      </c>
      <c r="D61" s="4" t="s">
        <v>10</v>
      </c>
      <c r="E61" s="6">
        <f>MIN(E56:E58)</f>
        <v>0</v>
      </c>
      <c r="F61" s="6">
        <f t="shared" ref="F61:K61" si="86">MIN(F56:F58)</f>
        <v>2.4140000000000002E-2</v>
      </c>
      <c r="G61" s="6">
        <f t="shared" si="86"/>
        <v>20.038392000000002</v>
      </c>
      <c r="H61" s="6">
        <f t="shared" si="86"/>
        <v>0</v>
      </c>
      <c r="I61" s="6">
        <f t="shared" si="86"/>
        <v>20.065119000000003</v>
      </c>
      <c r="J61" s="6">
        <f t="shared" si="86"/>
        <v>0</v>
      </c>
      <c r="K61" s="6">
        <f t="shared" si="86"/>
        <v>0</v>
      </c>
    </row>
    <row r="62" spans="1:11" x14ac:dyDescent="0.2">
      <c r="A62" s="4" t="s">
        <v>99</v>
      </c>
      <c r="B62" s="4" t="s">
        <v>13</v>
      </c>
      <c r="C62" s="4" t="s">
        <v>5</v>
      </c>
      <c r="D62" s="4" t="s">
        <v>7</v>
      </c>
      <c r="E62" s="5">
        <v>1.9739709999999999</v>
      </c>
      <c r="F62" s="5">
        <v>2.6061999999999998E-2</v>
      </c>
      <c r="G62" s="5">
        <v>21.904585999999998</v>
      </c>
      <c r="H62" s="5">
        <v>5.6911800000000001</v>
      </c>
      <c r="I62" s="6">
        <f>SUM(E62:H62)</f>
        <v>29.595798999999996</v>
      </c>
    </row>
    <row r="63" spans="1:11" x14ac:dyDescent="0.2">
      <c r="A63" s="4" t="s">
        <v>100</v>
      </c>
      <c r="B63" s="4" t="s">
        <v>13</v>
      </c>
      <c r="C63" s="4" t="s">
        <v>5</v>
      </c>
      <c r="D63" s="4" t="s">
        <v>7</v>
      </c>
      <c r="E63" s="5">
        <v>1.9875069999999999</v>
      </c>
      <c r="F63" s="5">
        <v>2.7622000000000001E-2</v>
      </c>
      <c r="G63" s="5">
        <v>9.5924440000000004</v>
      </c>
      <c r="H63" s="5">
        <v>6.1305870000000002</v>
      </c>
      <c r="I63" s="6">
        <f t="shared" ref="I63:I64" si="87">SUM(E63:H63)</f>
        <v>17.738160000000001</v>
      </c>
    </row>
    <row r="64" spans="1:11" x14ac:dyDescent="0.2">
      <c r="A64" s="4" t="s">
        <v>101</v>
      </c>
      <c r="B64" s="4" t="s">
        <v>13</v>
      </c>
      <c r="C64" s="4" t="s">
        <v>5</v>
      </c>
      <c r="D64" s="4" t="s">
        <v>7</v>
      </c>
      <c r="E64" s="5">
        <v>2.105553</v>
      </c>
      <c r="F64" s="5">
        <v>2.5072000000000001E-2</v>
      </c>
      <c r="G64" s="5">
        <v>18.924668</v>
      </c>
      <c r="H64" s="5">
        <v>10.756895999999999</v>
      </c>
      <c r="I64" s="6">
        <f t="shared" si="87"/>
        <v>31.812188999999996</v>
      </c>
    </row>
    <row r="65" spans="1:11" x14ac:dyDescent="0.2">
      <c r="A65" s="4" t="s">
        <v>51</v>
      </c>
      <c r="B65" s="4" t="s">
        <v>13</v>
      </c>
      <c r="C65" s="4" t="s">
        <v>5</v>
      </c>
      <c r="D65" s="4" t="s">
        <v>7</v>
      </c>
      <c r="E65" s="6">
        <f t="shared" ref="E65" si="88">SUM(E62:E64)/3</f>
        <v>2.0223436666666665</v>
      </c>
      <c r="F65" s="6">
        <f t="shared" ref="F65" si="89">SUM(F62:F64)/3</f>
        <v>2.6251999999999998E-2</v>
      </c>
      <c r="G65" s="6">
        <f t="shared" ref="G65" si="90">SUM(G62:G64)/3</f>
        <v>16.807232666666668</v>
      </c>
      <c r="H65" s="6">
        <f t="shared" ref="H65" si="91">SUM(H62:H64)/3</f>
        <v>7.5262209999999996</v>
      </c>
      <c r="I65" s="6">
        <f t="shared" ref="I65" si="92">SUM(I62:I64)/3</f>
        <v>26.382049333333327</v>
      </c>
      <c r="J65" s="6">
        <f t="shared" ref="J65" si="93">SUM(J62:J64)/3</f>
        <v>0</v>
      </c>
      <c r="K65" s="6">
        <f>SUM(K62:K64)/3</f>
        <v>0</v>
      </c>
    </row>
    <row r="66" spans="1:11" x14ac:dyDescent="0.2">
      <c r="A66" s="4" t="s">
        <v>52</v>
      </c>
      <c r="B66" s="4" t="s">
        <v>13</v>
      </c>
      <c r="C66" s="4" t="s">
        <v>5</v>
      </c>
      <c r="D66" s="4" t="s">
        <v>7</v>
      </c>
      <c r="E66" s="6">
        <f>MAX(E62:E64)</f>
        <v>2.105553</v>
      </c>
      <c r="F66" s="6">
        <f t="shared" ref="F66:K66" si="94">MAX(F62:F64)</f>
        <v>2.7622000000000001E-2</v>
      </c>
      <c r="G66" s="6">
        <f t="shared" si="94"/>
        <v>21.904585999999998</v>
      </c>
      <c r="H66" s="6">
        <f t="shared" si="94"/>
        <v>10.756895999999999</v>
      </c>
      <c r="I66" s="6">
        <f t="shared" si="94"/>
        <v>31.812188999999996</v>
      </c>
      <c r="J66" s="6">
        <f t="shared" si="94"/>
        <v>0</v>
      </c>
      <c r="K66" s="6">
        <f t="shared" si="94"/>
        <v>0</v>
      </c>
    </row>
    <row r="67" spans="1:11" x14ac:dyDescent="0.2">
      <c r="A67" s="4" t="s">
        <v>53</v>
      </c>
      <c r="B67" s="4" t="s">
        <v>13</v>
      </c>
      <c r="C67" s="4" t="s">
        <v>5</v>
      </c>
      <c r="D67" s="4" t="s">
        <v>7</v>
      </c>
      <c r="E67" s="6">
        <f>MIN(E62:E64)</f>
        <v>1.9739709999999999</v>
      </c>
      <c r="F67" s="6">
        <f t="shared" ref="F67:K67" si="95">MIN(F62:F64)</f>
        <v>2.5072000000000001E-2</v>
      </c>
      <c r="G67" s="6">
        <f t="shared" si="95"/>
        <v>9.5924440000000004</v>
      </c>
      <c r="H67" s="6">
        <f t="shared" si="95"/>
        <v>5.6911800000000001</v>
      </c>
      <c r="I67" s="6">
        <f t="shared" si="95"/>
        <v>17.738160000000001</v>
      </c>
      <c r="J67" s="6">
        <f t="shared" si="95"/>
        <v>0</v>
      </c>
      <c r="K67" s="6">
        <f t="shared" si="95"/>
        <v>0</v>
      </c>
    </row>
    <row r="68" spans="1:11" x14ac:dyDescent="0.2">
      <c r="A68" s="4" t="s">
        <v>102</v>
      </c>
      <c r="B68" s="4" t="s">
        <v>13</v>
      </c>
      <c r="C68" s="4" t="s">
        <v>9</v>
      </c>
      <c r="D68" s="4" t="s">
        <v>11</v>
      </c>
      <c r="F68" s="5">
        <v>2.6630000000000001E-2</v>
      </c>
      <c r="G68" s="5">
        <v>19.453849999999999</v>
      </c>
      <c r="I68" s="6">
        <f>SUM(E68:H68)</f>
        <v>19.48048</v>
      </c>
    </row>
    <row r="69" spans="1:11" x14ac:dyDescent="0.2">
      <c r="A69" s="4" t="s">
        <v>103</v>
      </c>
      <c r="B69" s="4" t="s">
        <v>13</v>
      </c>
      <c r="C69" s="4" t="s">
        <v>9</v>
      </c>
      <c r="D69" s="4" t="s">
        <v>11</v>
      </c>
      <c r="F69" s="5">
        <v>2.7888E-2</v>
      </c>
      <c r="G69" s="5">
        <v>10.641465999999999</v>
      </c>
      <c r="I69" s="6">
        <f t="shared" ref="I69:I70" si="96">SUM(E69:H69)</f>
        <v>10.669354</v>
      </c>
    </row>
    <row r="70" spans="1:11" x14ac:dyDescent="0.2">
      <c r="A70" s="4" t="s">
        <v>104</v>
      </c>
      <c r="B70" s="4" t="s">
        <v>13</v>
      </c>
      <c r="C70" s="4" t="s">
        <v>9</v>
      </c>
      <c r="D70" s="4" t="s">
        <v>11</v>
      </c>
      <c r="F70" s="5">
        <v>2.4910000000000002E-2</v>
      </c>
      <c r="G70" s="5">
        <v>12.938445</v>
      </c>
      <c r="I70" s="6">
        <f t="shared" si="96"/>
        <v>12.963355</v>
      </c>
    </row>
    <row r="71" spans="1:11" x14ac:dyDescent="0.2">
      <c r="A71" s="4" t="s">
        <v>54</v>
      </c>
      <c r="B71" s="4" t="s">
        <v>13</v>
      </c>
      <c r="C71" s="4" t="s">
        <v>9</v>
      </c>
      <c r="D71" s="4" t="s">
        <v>11</v>
      </c>
      <c r="E71" s="6">
        <f t="shared" ref="E71" si="97">SUM(E68:E70)/3</f>
        <v>0</v>
      </c>
      <c r="F71" s="6">
        <f t="shared" ref="F71" si="98">SUM(F68:F70)/3</f>
        <v>2.6476E-2</v>
      </c>
      <c r="G71" s="6">
        <f t="shared" ref="G71" si="99">SUM(G68:G70)/3</f>
        <v>14.344586999999999</v>
      </c>
      <c r="H71" s="6">
        <f t="shared" ref="H71" si="100">SUM(H68:H70)/3</f>
        <v>0</v>
      </c>
      <c r="I71" s="6">
        <f t="shared" ref="I71" si="101">SUM(I68:I70)/3</f>
        <v>14.371062999999999</v>
      </c>
      <c r="J71" s="6">
        <f t="shared" ref="J71" si="102">SUM(J68:J70)/3</f>
        <v>0</v>
      </c>
      <c r="K71" s="6">
        <f>SUM(K68:K70)/3</f>
        <v>0</v>
      </c>
    </row>
    <row r="72" spans="1:11" x14ac:dyDescent="0.2">
      <c r="A72" s="4" t="s">
        <v>55</v>
      </c>
      <c r="B72" s="4" t="s">
        <v>13</v>
      </c>
      <c r="C72" s="4" t="s">
        <v>9</v>
      </c>
      <c r="D72" s="4" t="s">
        <v>11</v>
      </c>
      <c r="E72" s="6">
        <f>MAX(E68:E70)</f>
        <v>0</v>
      </c>
      <c r="F72" s="6">
        <f t="shared" ref="F72:K72" si="103">MAX(F68:F70)</f>
        <v>2.7888E-2</v>
      </c>
      <c r="G72" s="6">
        <f t="shared" si="103"/>
        <v>19.453849999999999</v>
      </c>
      <c r="H72" s="6">
        <f t="shared" si="103"/>
        <v>0</v>
      </c>
      <c r="I72" s="6">
        <f t="shared" si="103"/>
        <v>19.48048</v>
      </c>
      <c r="J72" s="6">
        <f t="shared" si="103"/>
        <v>0</v>
      </c>
      <c r="K72" s="6">
        <f t="shared" si="103"/>
        <v>0</v>
      </c>
    </row>
    <row r="73" spans="1:11" x14ac:dyDescent="0.2">
      <c r="A73" s="4" t="s">
        <v>56</v>
      </c>
      <c r="B73" s="4" t="s">
        <v>13</v>
      </c>
      <c r="C73" s="4" t="s">
        <v>9</v>
      </c>
      <c r="D73" s="4" t="s">
        <v>11</v>
      </c>
      <c r="E73" s="6">
        <f>MIN(E68:E70)</f>
        <v>0</v>
      </c>
      <c r="F73" s="6">
        <f t="shared" ref="F73:K73" si="104">MIN(F68:F70)</f>
        <v>2.4910000000000002E-2</v>
      </c>
      <c r="G73" s="6">
        <f t="shared" si="104"/>
        <v>10.641465999999999</v>
      </c>
      <c r="H73" s="6">
        <f t="shared" si="104"/>
        <v>0</v>
      </c>
      <c r="I73" s="6">
        <f t="shared" si="104"/>
        <v>10.669354</v>
      </c>
      <c r="J73" s="6">
        <f t="shared" si="104"/>
        <v>0</v>
      </c>
      <c r="K73" s="6">
        <f t="shared" si="104"/>
        <v>0</v>
      </c>
    </row>
    <row r="74" spans="1:11" x14ac:dyDescent="0.2">
      <c r="A74" s="4" t="s">
        <v>105</v>
      </c>
      <c r="B74" s="4" t="s">
        <v>13</v>
      </c>
      <c r="C74" s="4" t="s">
        <v>5</v>
      </c>
      <c r="D74" s="4" t="s">
        <v>8</v>
      </c>
      <c r="E74" s="5">
        <v>1.5894470000000001</v>
      </c>
      <c r="F74" s="5">
        <v>2.3057000000000001E-2</v>
      </c>
      <c r="G74" s="5">
        <v>21.150984000000001</v>
      </c>
      <c r="H74" s="5">
        <v>5.1075850000000003</v>
      </c>
      <c r="I74" s="6">
        <f>SUM(E74:H74)</f>
        <v>27.871073000000003</v>
      </c>
    </row>
    <row r="75" spans="1:11" x14ac:dyDescent="0.2">
      <c r="A75" s="4" t="s">
        <v>106</v>
      </c>
      <c r="B75" s="4" t="s">
        <v>13</v>
      </c>
      <c r="C75" s="4" t="s">
        <v>5</v>
      </c>
      <c r="D75" s="4" t="s">
        <v>8</v>
      </c>
      <c r="E75" s="5">
        <v>1.9888859999999999</v>
      </c>
      <c r="F75" s="5">
        <v>2.8216000000000001E-2</v>
      </c>
      <c r="G75" s="5">
        <v>26.097472</v>
      </c>
      <c r="H75" s="5">
        <v>14.853776</v>
      </c>
      <c r="I75" s="6">
        <f t="shared" ref="I75:I76" si="105">SUM(E75:H75)</f>
        <v>42.968350000000001</v>
      </c>
    </row>
    <row r="76" spans="1:11" x14ac:dyDescent="0.2">
      <c r="A76" s="4" t="s">
        <v>107</v>
      </c>
      <c r="B76" s="4" t="s">
        <v>13</v>
      </c>
      <c r="C76" s="4" t="s">
        <v>5</v>
      </c>
      <c r="D76" s="4" t="s">
        <v>8</v>
      </c>
      <c r="E76" s="5">
        <v>1.9857290000000001</v>
      </c>
      <c r="F76" s="5">
        <v>2.9336000000000001E-2</v>
      </c>
      <c r="G76" s="5">
        <v>6.2728060000000001</v>
      </c>
      <c r="H76" s="5">
        <v>4.1737599999999997</v>
      </c>
      <c r="I76" s="6">
        <f t="shared" si="105"/>
        <v>12.461630999999999</v>
      </c>
    </row>
    <row r="77" spans="1:11" x14ac:dyDescent="0.2">
      <c r="A77" s="4" t="s">
        <v>57</v>
      </c>
      <c r="B77" s="4" t="s">
        <v>13</v>
      </c>
      <c r="C77" s="4" t="s">
        <v>5</v>
      </c>
      <c r="D77" s="4" t="s">
        <v>8</v>
      </c>
      <c r="E77" s="6">
        <f t="shared" ref="E77" si="106">SUM(E74:E76)/3</f>
        <v>1.8546873333333334</v>
      </c>
      <c r="F77" s="6">
        <f t="shared" ref="F77" si="107">SUM(F74:F76)/3</f>
        <v>2.6869666666666667E-2</v>
      </c>
      <c r="G77" s="6">
        <f t="shared" ref="G77" si="108">SUM(G74:G76)/3</f>
        <v>17.84042066666667</v>
      </c>
      <c r="H77" s="6">
        <f t="shared" ref="H77" si="109">SUM(H74:H76)/3</f>
        <v>8.0450403333333327</v>
      </c>
      <c r="I77" s="6">
        <f t="shared" ref="I77" si="110">SUM(I74:I76)/3</f>
        <v>27.767018000000004</v>
      </c>
      <c r="J77" s="6">
        <f t="shared" ref="J77" si="111">SUM(J74:J76)/3</f>
        <v>0</v>
      </c>
      <c r="K77" s="6">
        <f>SUM(K74:K76)/3</f>
        <v>0</v>
      </c>
    </row>
    <row r="78" spans="1:11" x14ac:dyDescent="0.2">
      <c r="A78" s="4" t="s">
        <v>58</v>
      </c>
      <c r="B78" s="4" t="s">
        <v>13</v>
      </c>
      <c r="C78" s="4" t="s">
        <v>5</v>
      </c>
      <c r="D78" s="4" t="s">
        <v>8</v>
      </c>
      <c r="E78" s="6">
        <f>MAX(E74:E76)</f>
        <v>1.9888859999999999</v>
      </c>
      <c r="F78" s="6">
        <f t="shared" ref="F78:K78" si="112">MAX(F74:F76)</f>
        <v>2.9336000000000001E-2</v>
      </c>
      <c r="G78" s="6">
        <f t="shared" si="112"/>
        <v>26.097472</v>
      </c>
      <c r="H78" s="6">
        <f t="shared" si="112"/>
        <v>14.853776</v>
      </c>
      <c r="I78" s="6">
        <f t="shared" si="112"/>
        <v>42.968350000000001</v>
      </c>
      <c r="J78" s="6">
        <f t="shared" si="112"/>
        <v>0</v>
      </c>
      <c r="K78" s="6">
        <f t="shared" si="112"/>
        <v>0</v>
      </c>
    </row>
    <row r="79" spans="1:11" x14ac:dyDescent="0.2">
      <c r="A79" s="4" t="s">
        <v>59</v>
      </c>
      <c r="B79" s="4" t="s">
        <v>13</v>
      </c>
      <c r="C79" s="4" t="s">
        <v>5</v>
      </c>
      <c r="D79" s="4" t="s">
        <v>8</v>
      </c>
      <c r="E79" s="6">
        <f>MIN(E74:E76)</f>
        <v>1.5894470000000001</v>
      </c>
      <c r="F79" s="6">
        <f t="shared" ref="F79:K79" si="113">MIN(F74:F76)</f>
        <v>2.3057000000000001E-2</v>
      </c>
      <c r="G79" s="6">
        <f t="shared" si="113"/>
        <v>6.2728060000000001</v>
      </c>
      <c r="H79" s="6">
        <f t="shared" si="113"/>
        <v>4.1737599999999997</v>
      </c>
      <c r="I79" s="6">
        <f t="shared" si="113"/>
        <v>12.461630999999999</v>
      </c>
      <c r="J79" s="6">
        <f t="shared" si="113"/>
        <v>0</v>
      </c>
      <c r="K79" s="6">
        <f t="shared" si="113"/>
        <v>0</v>
      </c>
    </row>
    <row r="80" spans="1:11" x14ac:dyDescent="0.2">
      <c r="A80" s="4" t="s">
        <v>108</v>
      </c>
      <c r="B80" s="4" t="s">
        <v>13</v>
      </c>
      <c r="C80" s="4" t="s">
        <v>9</v>
      </c>
      <c r="D80" s="4" t="s">
        <v>12</v>
      </c>
      <c r="F80" s="5">
        <v>3.0492999999999999E-2</v>
      </c>
      <c r="G80" s="5">
        <v>6.772297</v>
      </c>
      <c r="I80" s="6">
        <f>SUM(E80:H80)</f>
        <v>6.8027899999999999</v>
      </c>
    </row>
    <row r="81" spans="1:11" x14ac:dyDescent="0.2">
      <c r="A81" s="4" t="s">
        <v>109</v>
      </c>
      <c r="B81" s="4" t="s">
        <v>13</v>
      </c>
      <c r="C81" s="4" t="s">
        <v>9</v>
      </c>
      <c r="D81" s="4" t="s">
        <v>12</v>
      </c>
      <c r="F81" s="5">
        <v>3.7634000000000001E-2</v>
      </c>
      <c r="G81" s="5">
        <v>6.9759929999999999</v>
      </c>
      <c r="I81" s="6">
        <f t="shared" ref="I81:I82" si="114">SUM(E81:H81)</f>
        <v>7.0136269999999996</v>
      </c>
    </row>
    <row r="82" spans="1:11" x14ac:dyDescent="0.2">
      <c r="A82" s="4" t="s">
        <v>110</v>
      </c>
      <c r="B82" s="4" t="s">
        <v>13</v>
      </c>
      <c r="C82" s="4" t="s">
        <v>9</v>
      </c>
      <c r="D82" s="4" t="s">
        <v>12</v>
      </c>
      <c r="F82" s="5">
        <v>2.9288999999999999E-2</v>
      </c>
      <c r="G82" s="5">
        <v>23.346215999999998</v>
      </c>
      <c r="I82" s="6">
        <f t="shared" si="114"/>
        <v>23.375504999999997</v>
      </c>
    </row>
    <row r="83" spans="1:11" x14ac:dyDescent="0.2">
      <c r="A83" s="4" t="s">
        <v>60</v>
      </c>
      <c r="B83" s="4" t="s">
        <v>13</v>
      </c>
      <c r="C83" s="4" t="s">
        <v>9</v>
      </c>
      <c r="D83" s="4" t="s">
        <v>12</v>
      </c>
      <c r="E83" s="6">
        <f t="shared" ref="E83" si="115">SUM(E80:E82)/3</f>
        <v>0</v>
      </c>
      <c r="F83" s="6">
        <f t="shared" ref="F83" si="116">SUM(F80:F82)/3</f>
        <v>3.2471999999999994E-2</v>
      </c>
      <c r="G83" s="6">
        <f t="shared" ref="G83" si="117">SUM(G80:G82)/3</f>
        <v>12.364835333333332</v>
      </c>
      <c r="H83" s="6">
        <f t="shared" ref="H83" si="118">SUM(H80:H82)/3</f>
        <v>0</v>
      </c>
      <c r="I83" s="6">
        <f t="shared" ref="I83" si="119">SUM(I80:I82)/3</f>
        <v>12.397307333333332</v>
      </c>
      <c r="J83" s="6">
        <f t="shared" ref="J83" si="120">SUM(J80:J82)/3</f>
        <v>0</v>
      </c>
      <c r="K83" s="6">
        <f>SUM(K80:K82)/3</f>
        <v>0</v>
      </c>
    </row>
    <row r="84" spans="1:11" x14ac:dyDescent="0.2">
      <c r="A84" s="4" t="s">
        <v>61</v>
      </c>
      <c r="B84" s="4" t="s">
        <v>13</v>
      </c>
      <c r="C84" s="4" t="s">
        <v>9</v>
      </c>
      <c r="D84" s="4" t="s">
        <v>12</v>
      </c>
      <c r="E84" s="6">
        <f>MAX(E80:E82)</f>
        <v>0</v>
      </c>
      <c r="F84" s="6">
        <f t="shared" ref="F84:K84" si="121">MAX(F80:F82)</f>
        <v>3.7634000000000001E-2</v>
      </c>
      <c r="G84" s="6">
        <f t="shared" si="121"/>
        <v>23.346215999999998</v>
      </c>
      <c r="H84" s="6">
        <f t="shared" si="121"/>
        <v>0</v>
      </c>
      <c r="I84" s="6">
        <f t="shared" si="121"/>
        <v>23.375504999999997</v>
      </c>
      <c r="J84" s="6">
        <f t="shared" si="121"/>
        <v>0</v>
      </c>
      <c r="K84" s="6">
        <f t="shared" si="121"/>
        <v>0</v>
      </c>
    </row>
    <row r="85" spans="1:11" x14ac:dyDescent="0.2">
      <c r="A85" s="4" t="s">
        <v>62</v>
      </c>
      <c r="B85" s="4" t="s">
        <v>13</v>
      </c>
      <c r="C85" s="4" t="s">
        <v>9</v>
      </c>
      <c r="D85" s="4" t="s">
        <v>12</v>
      </c>
      <c r="E85" s="6">
        <f>MIN(E80:E82)</f>
        <v>0</v>
      </c>
      <c r="F85" s="6">
        <f t="shared" ref="F85:K85" si="122">MIN(F80:F82)</f>
        <v>2.9288999999999999E-2</v>
      </c>
      <c r="G85" s="6">
        <f t="shared" si="122"/>
        <v>6.772297</v>
      </c>
      <c r="H85" s="6">
        <f t="shared" si="122"/>
        <v>0</v>
      </c>
      <c r="I85" s="6">
        <f t="shared" si="122"/>
        <v>6.8027899999999999</v>
      </c>
      <c r="J85" s="6">
        <f t="shared" si="122"/>
        <v>0</v>
      </c>
      <c r="K85" s="6">
        <f t="shared" si="122"/>
        <v>0</v>
      </c>
    </row>
    <row r="86" spans="1:11" x14ac:dyDescent="0.2">
      <c r="A86" s="4" t="s">
        <v>111</v>
      </c>
      <c r="B86" s="4" t="s">
        <v>13</v>
      </c>
      <c r="C86" s="4" t="s">
        <v>5</v>
      </c>
      <c r="D86" s="4" t="s">
        <v>14</v>
      </c>
      <c r="E86" s="5">
        <v>1.924625</v>
      </c>
      <c r="F86" s="5">
        <v>5.7618000000000003E-2</v>
      </c>
      <c r="G86" s="5">
        <v>30.936295000000001</v>
      </c>
      <c r="H86" s="5">
        <v>8.687398</v>
      </c>
      <c r="I86" s="6">
        <f>SUM(E86:H86)</f>
        <v>41.605936</v>
      </c>
    </row>
    <row r="87" spans="1:11" x14ac:dyDescent="0.2">
      <c r="A87" s="4" t="s">
        <v>112</v>
      </c>
      <c r="B87" s="4" t="s">
        <v>13</v>
      </c>
      <c r="C87" s="4" t="s">
        <v>5</v>
      </c>
      <c r="D87" s="4" t="s">
        <v>14</v>
      </c>
      <c r="E87" s="5">
        <v>2.3155670000000002</v>
      </c>
      <c r="F87" s="5">
        <v>4.1440999999999999E-2</v>
      </c>
      <c r="G87" s="5">
        <v>8.7685259999999996</v>
      </c>
      <c r="H87" s="5">
        <v>6.446809</v>
      </c>
      <c r="I87" s="6">
        <f t="shared" ref="I87:I88" si="123">SUM(E87:H87)</f>
        <v>17.572343</v>
      </c>
    </row>
    <row r="88" spans="1:11" x14ac:dyDescent="0.2">
      <c r="A88" s="4" t="s">
        <v>113</v>
      </c>
      <c r="B88" s="4" t="s">
        <v>13</v>
      </c>
      <c r="C88" s="4" t="s">
        <v>5</v>
      </c>
      <c r="D88" s="4" t="s">
        <v>14</v>
      </c>
      <c r="E88" s="5">
        <v>1.8466530000000001</v>
      </c>
      <c r="F88" s="5">
        <v>3.0986E-2</v>
      </c>
      <c r="G88" s="5">
        <v>18.749586000000001</v>
      </c>
      <c r="H88" s="5">
        <v>13.188071000000001</v>
      </c>
      <c r="I88" s="6">
        <f t="shared" si="123"/>
        <v>33.815296000000004</v>
      </c>
    </row>
    <row r="89" spans="1:11" x14ac:dyDescent="0.2">
      <c r="A89" s="4" t="s">
        <v>63</v>
      </c>
      <c r="B89" s="4" t="s">
        <v>13</v>
      </c>
      <c r="C89" s="4" t="s">
        <v>5</v>
      </c>
      <c r="D89" s="4" t="s">
        <v>14</v>
      </c>
      <c r="E89" s="6">
        <f t="shared" ref="E89" si="124">SUM(E86:E88)/3</f>
        <v>2.0289483333333336</v>
      </c>
      <c r="F89" s="6">
        <f t="shared" ref="F89" si="125">SUM(F86:F88)/3</f>
        <v>4.3348333333333343E-2</v>
      </c>
      <c r="G89" s="6">
        <f t="shared" ref="G89" si="126">SUM(G86:G88)/3</f>
        <v>19.484802333333334</v>
      </c>
      <c r="H89" s="6">
        <f t="shared" ref="H89" si="127">SUM(H86:H88)/3</f>
        <v>9.4407593333333342</v>
      </c>
      <c r="I89" s="6">
        <f t="shared" ref="I89" si="128">SUM(I86:I88)/3</f>
        <v>30.997858333333337</v>
      </c>
      <c r="J89" s="6">
        <f t="shared" ref="J89" si="129">SUM(J86:J88)/3</f>
        <v>0</v>
      </c>
      <c r="K89" s="6">
        <f>SUM(K86:K88)/3</f>
        <v>0</v>
      </c>
    </row>
    <row r="90" spans="1:11" x14ac:dyDescent="0.2">
      <c r="A90" s="4" t="s">
        <v>64</v>
      </c>
      <c r="B90" s="4" t="s">
        <v>13</v>
      </c>
      <c r="C90" s="4" t="s">
        <v>5</v>
      </c>
      <c r="D90" s="4" t="s">
        <v>14</v>
      </c>
      <c r="E90" s="6">
        <f>MAX(E86:E88)</f>
        <v>2.3155670000000002</v>
      </c>
      <c r="F90" s="6">
        <f t="shared" ref="F90:K90" si="130">MAX(F86:F88)</f>
        <v>5.7618000000000003E-2</v>
      </c>
      <c r="G90" s="6">
        <f t="shared" si="130"/>
        <v>30.936295000000001</v>
      </c>
      <c r="H90" s="6">
        <f t="shared" si="130"/>
        <v>13.188071000000001</v>
      </c>
      <c r="I90" s="6">
        <f t="shared" si="130"/>
        <v>41.605936</v>
      </c>
      <c r="J90" s="6">
        <f t="shared" si="130"/>
        <v>0</v>
      </c>
      <c r="K90" s="6">
        <f t="shared" si="130"/>
        <v>0</v>
      </c>
    </row>
    <row r="91" spans="1:11" x14ac:dyDescent="0.2">
      <c r="A91" s="4" t="s">
        <v>65</v>
      </c>
      <c r="B91" s="4" t="s">
        <v>13</v>
      </c>
      <c r="C91" s="4" t="s">
        <v>5</v>
      </c>
      <c r="D91" s="4" t="s">
        <v>14</v>
      </c>
      <c r="E91" s="6">
        <f>MIN(E86:E88)</f>
        <v>1.8466530000000001</v>
      </c>
      <c r="F91" s="6">
        <f t="shared" ref="F91:K91" si="131">MIN(F86:F88)</f>
        <v>3.0986E-2</v>
      </c>
      <c r="G91" s="6">
        <f t="shared" si="131"/>
        <v>8.7685259999999996</v>
      </c>
      <c r="H91" s="6">
        <f t="shared" si="131"/>
        <v>6.446809</v>
      </c>
      <c r="I91" s="6">
        <f t="shared" si="131"/>
        <v>17.572343</v>
      </c>
      <c r="J91" s="6">
        <f t="shared" si="131"/>
        <v>0</v>
      </c>
      <c r="K91" s="6">
        <f t="shared" si="131"/>
        <v>0</v>
      </c>
    </row>
    <row r="92" spans="1:11" x14ac:dyDescent="0.2">
      <c r="A92" s="4" t="s">
        <v>114</v>
      </c>
      <c r="B92" s="4" t="s">
        <v>13</v>
      </c>
      <c r="C92" s="4" t="s">
        <v>9</v>
      </c>
      <c r="D92" s="4" t="s">
        <v>15</v>
      </c>
      <c r="F92" s="5">
        <v>3.7770999999999999E-2</v>
      </c>
      <c r="G92" s="5">
        <v>30.769124000000001</v>
      </c>
      <c r="I92" s="6">
        <f>SUM(E92:H92)</f>
        <v>30.806895000000001</v>
      </c>
    </row>
    <row r="93" spans="1:11" x14ac:dyDescent="0.2">
      <c r="A93" s="4" t="s">
        <v>115</v>
      </c>
      <c r="B93" s="4" t="s">
        <v>13</v>
      </c>
      <c r="C93" s="4" t="s">
        <v>9</v>
      </c>
      <c r="D93" s="4" t="s">
        <v>15</v>
      </c>
      <c r="F93" s="5">
        <v>3.0085000000000001E-2</v>
      </c>
      <c r="G93" s="5">
        <v>18.092962</v>
      </c>
      <c r="I93" s="6">
        <f t="shared" ref="I93:I94" si="132">SUM(E93:H93)</f>
        <v>18.123047</v>
      </c>
    </row>
    <row r="94" spans="1:11" x14ac:dyDescent="0.2">
      <c r="A94" s="4" t="s">
        <v>116</v>
      </c>
      <c r="B94" s="4" t="s">
        <v>13</v>
      </c>
      <c r="C94" s="4" t="s">
        <v>9</v>
      </c>
      <c r="D94" s="4" t="s">
        <v>15</v>
      </c>
      <c r="F94" s="5">
        <v>2.3411999999999999E-2</v>
      </c>
      <c r="G94" s="5">
        <v>8.6725770000000004</v>
      </c>
      <c r="I94" s="6">
        <f t="shared" si="132"/>
        <v>8.6959890000000009</v>
      </c>
    </row>
    <row r="95" spans="1:11" x14ac:dyDescent="0.2">
      <c r="A95" s="4" t="s">
        <v>66</v>
      </c>
      <c r="B95" s="4" t="s">
        <v>13</v>
      </c>
      <c r="C95" s="4" t="s">
        <v>9</v>
      </c>
      <c r="D95" s="4" t="s">
        <v>15</v>
      </c>
      <c r="E95" s="6">
        <f t="shared" ref="E95" si="133">SUM(E92:E94)/3</f>
        <v>0</v>
      </c>
      <c r="F95" s="6">
        <f t="shared" ref="F95" si="134">SUM(F92:F94)/3</f>
        <v>3.0422666666666667E-2</v>
      </c>
      <c r="G95" s="6">
        <f t="shared" ref="G95" si="135">SUM(G92:G94)/3</f>
        <v>19.178221000000004</v>
      </c>
      <c r="H95" s="6">
        <f t="shared" ref="H95" si="136">SUM(H92:H94)/3</f>
        <v>0</v>
      </c>
      <c r="I95" s="6">
        <f t="shared" ref="I95" si="137">SUM(I92:I94)/3</f>
        <v>19.208643666666664</v>
      </c>
      <c r="J95" s="6">
        <f t="shared" ref="J95" si="138">SUM(J92:J94)/3</f>
        <v>0</v>
      </c>
      <c r="K95" s="6">
        <f>SUM(K92:K94)/3</f>
        <v>0</v>
      </c>
    </row>
    <row r="96" spans="1:11" x14ac:dyDescent="0.2">
      <c r="A96" s="4" t="s">
        <v>67</v>
      </c>
      <c r="B96" s="4" t="s">
        <v>13</v>
      </c>
      <c r="C96" s="4" t="s">
        <v>9</v>
      </c>
      <c r="D96" s="4" t="s">
        <v>15</v>
      </c>
      <c r="E96" s="6">
        <f>MAX(E92:E94)</f>
        <v>0</v>
      </c>
      <c r="F96" s="6">
        <f t="shared" ref="F96:K96" si="139">MAX(F92:F94)</f>
        <v>3.7770999999999999E-2</v>
      </c>
      <c r="G96" s="6">
        <f t="shared" si="139"/>
        <v>30.769124000000001</v>
      </c>
      <c r="H96" s="6">
        <f t="shared" si="139"/>
        <v>0</v>
      </c>
      <c r="I96" s="6">
        <f t="shared" si="139"/>
        <v>30.806895000000001</v>
      </c>
      <c r="J96" s="6">
        <f t="shared" si="139"/>
        <v>0</v>
      </c>
      <c r="K96" s="6">
        <f t="shared" si="139"/>
        <v>0</v>
      </c>
    </row>
    <row r="97" spans="1:11" x14ac:dyDescent="0.2">
      <c r="A97" s="4" t="s">
        <v>68</v>
      </c>
      <c r="B97" s="4" t="s">
        <v>13</v>
      </c>
      <c r="C97" s="4" t="s">
        <v>9</v>
      </c>
      <c r="D97" s="4" t="s">
        <v>15</v>
      </c>
      <c r="E97" s="6">
        <f>MIN(E92:E94)</f>
        <v>0</v>
      </c>
      <c r="F97" s="6">
        <f t="shared" ref="F97:K97" si="140">MIN(F92:F94)</f>
        <v>2.3411999999999999E-2</v>
      </c>
      <c r="G97" s="6">
        <f t="shared" si="140"/>
        <v>8.6725770000000004</v>
      </c>
      <c r="H97" s="6">
        <f t="shared" si="140"/>
        <v>0</v>
      </c>
      <c r="I97" s="6">
        <f t="shared" si="140"/>
        <v>8.6959890000000009</v>
      </c>
      <c r="J97" s="6">
        <f t="shared" si="140"/>
        <v>0</v>
      </c>
      <c r="K97" s="6">
        <f t="shared" si="140"/>
        <v>0</v>
      </c>
    </row>
  </sheetData>
  <phoneticPr fontId="1" type="noConversion"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FB2F-FF7F-46F8-B0D9-9D6E003FAA6F}">
  <dimension ref="A1:K97"/>
  <sheetViews>
    <sheetView workbookViewId="0">
      <selection activeCell="B1" sqref="B1:D1048576"/>
    </sheetView>
  </sheetViews>
  <sheetFormatPr baseColWidth="10" defaultRowHeight="15" x14ac:dyDescent="0.25"/>
  <cols>
    <col min="2" max="4" width="11.42578125" style="4"/>
  </cols>
  <sheetData>
    <row r="1" spans="1:11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16</v>
      </c>
      <c r="F1" s="1" t="s">
        <v>17</v>
      </c>
      <c r="G1" s="1" t="s">
        <v>18</v>
      </c>
      <c r="H1" s="1" t="s">
        <v>16</v>
      </c>
      <c r="I1" s="1" t="s">
        <v>22</v>
      </c>
      <c r="J1" s="1" t="s">
        <v>2</v>
      </c>
      <c r="K1" s="1" t="s">
        <v>23</v>
      </c>
    </row>
    <row r="2" spans="1:11" x14ac:dyDescent="0.25">
      <c r="A2" t="s">
        <v>117</v>
      </c>
      <c r="B2" s="4" t="s">
        <v>4</v>
      </c>
      <c r="C2" s="4" t="s">
        <v>5</v>
      </c>
      <c r="D2" s="4" t="s">
        <v>6</v>
      </c>
      <c r="I2">
        <f>SUM(E2:H2)</f>
        <v>0</v>
      </c>
    </row>
    <row r="3" spans="1:11" x14ac:dyDescent="0.25">
      <c r="A3" t="s">
        <v>118</v>
      </c>
      <c r="B3" s="4" t="s">
        <v>4</v>
      </c>
      <c r="C3" s="4" t="s">
        <v>5</v>
      </c>
      <c r="D3" s="4" t="s">
        <v>6</v>
      </c>
      <c r="I3">
        <f t="shared" ref="I3:I4" si="0">SUM(E3:H3)</f>
        <v>0</v>
      </c>
    </row>
    <row r="4" spans="1:11" x14ac:dyDescent="0.25">
      <c r="A4" t="s">
        <v>119</v>
      </c>
      <c r="B4" s="4" t="s">
        <v>4</v>
      </c>
      <c r="C4" s="4" t="s">
        <v>5</v>
      </c>
      <c r="D4" s="4" t="s">
        <v>6</v>
      </c>
      <c r="I4">
        <f t="shared" si="0"/>
        <v>0</v>
      </c>
    </row>
    <row r="5" spans="1:11" x14ac:dyDescent="0.25">
      <c r="A5" t="s">
        <v>120</v>
      </c>
      <c r="B5" s="4" t="s">
        <v>4</v>
      </c>
      <c r="C5" s="4" t="s">
        <v>5</v>
      </c>
      <c r="D5" s="4" t="s">
        <v>6</v>
      </c>
      <c r="E5">
        <f t="shared" ref="E5:J5" si="1">SUM(E2:E4)/3</f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>SUM(K2:K4)/3</f>
        <v>0</v>
      </c>
    </row>
    <row r="6" spans="1:11" x14ac:dyDescent="0.25">
      <c r="A6" t="s">
        <v>121</v>
      </c>
      <c r="B6" s="4" t="s">
        <v>4</v>
      </c>
      <c r="C6" s="4" t="s">
        <v>5</v>
      </c>
      <c r="D6" s="4" t="s">
        <v>6</v>
      </c>
      <c r="E6">
        <f>MAX(E2:E4)</f>
        <v>0</v>
      </c>
      <c r="F6">
        <f t="shared" ref="F6:K6" si="2">MAX(F2:F4)</f>
        <v>0</v>
      </c>
      <c r="G6">
        <f t="shared" si="2"/>
        <v>0</v>
      </c>
      <c r="H6">
        <f t="shared" si="2"/>
        <v>0</v>
      </c>
      <c r="I6">
        <f t="shared" si="2"/>
        <v>0</v>
      </c>
      <c r="J6">
        <f t="shared" si="2"/>
        <v>0</v>
      </c>
      <c r="K6">
        <f t="shared" si="2"/>
        <v>0</v>
      </c>
    </row>
    <row r="7" spans="1:11" x14ac:dyDescent="0.25">
      <c r="A7" t="s">
        <v>122</v>
      </c>
      <c r="B7" s="4" t="s">
        <v>4</v>
      </c>
      <c r="C7" s="4" t="s">
        <v>5</v>
      </c>
      <c r="D7" s="4" t="s">
        <v>6</v>
      </c>
      <c r="E7">
        <f>MIN(E2:E4)</f>
        <v>0</v>
      </c>
      <c r="F7">
        <f t="shared" ref="F7:K7" si="3">MIN(F2:F4)</f>
        <v>0</v>
      </c>
      <c r="G7">
        <f t="shared" si="3"/>
        <v>0</v>
      </c>
      <c r="H7">
        <f t="shared" si="3"/>
        <v>0</v>
      </c>
      <c r="I7">
        <f t="shared" si="3"/>
        <v>0</v>
      </c>
      <c r="J7">
        <f t="shared" si="3"/>
        <v>0</v>
      </c>
      <c r="K7">
        <f t="shared" si="3"/>
        <v>0</v>
      </c>
    </row>
    <row r="8" spans="1:11" x14ac:dyDescent="0.25">
      <c r="A8" t="s">
        <v>141</v>
      </c>
      <c r="B8" s="4" t="s">
        <v>4</v>
      </c>
      <c r="C8" s="4" t="s">
        <v>9</v>
      </c>
      <c r="D8" s="4" t="s">
        <v>10</v>
      </c>
      <c r="I8">
        <f>SUM(E8:H8)</f>
        <v>0</v>
      </c>
    </row>
    <row r="9" spans="1:11" x14ac:dyDescent="0.25">
      <c r="A9" t="s">
        <v>142</v>
      </c>
      <c r="B9" s="4" t="s">
        <v>4</v>
      </c>
      <c r="C9" s="4" t="s">
        <v>9</v>
      </c>
      <c r="D9" s="4" t="s">
        <v>10</v>
      </c>
      <c r="I9">
        <f t="shared" ref="I9:I10" si="4">SUM(E9:H9)</f>
        <v>0</v>
      </c>
    </row>
    <row r="10" spans="1:11" x14ac:dyDescent="0.25">
      <c r="A10" t="s">
        <v>143</v>
      </c>
      <c r="B10" s="4" t="s">
        <v>4</v>
      </c>
      <c r="C10" s="4" t="s">
        <v>9</v>
      </c>
      <c r="D10" s="4" t="s">
        <v>10</v>
      </c>
      <c r="I10">
        <f t="shared" si="4"/>
        <v>0</v>
      </c>
    </row>
    <row r="11" spans="1:11" x14ac:dyDescent="0.25">
      <c r="A11" t="s">
        <v>144</v>
      </c>
      <c r="B11" s="4" t="s">
        <v>4</v>
      </c>
      <c r="C11" s="4" t="s">
        <v>9</v>
      </c>
      <c r="D11" s="4" t="s">
        <v>10</v>
      </c>
      <c r="E11">
        <f t="shared" ref="E11:J11" si="5">SUM(E8:E10)/3</f>
        <v>0</v>
      </c>
      <c r="F11">
        <f t="shared" si="5"/>
        <v>0</v>
      </c>
      <c r="G11">
        <f t="shared" si="5"/>
        <v>0</v>
      </c>
      <c r="H11">
        <f t="shared" si="5"/>
        <v>0</v>
      </c>
      <c r="I11">
        <f t="shared" si="5"/>
        <v>0</v>
      </c>
      <c r="J11">
        <f t="shared" si="5"/>
        <v>0</v>
      </c>
      <c r="K11">
        <f>SUM(K8:K10)/3</f>
        <v>0</v>
      </c>
    </row>
    <row r="12" spans="1:11" x14ac:dyDescent="0.25">
      <c r="A12" t="s">
        <v>145</v>
      </c>
      <c r="B12" s="4" t="s">
        <v>4</v>
      </c>
      <c r="C12" s="4" t="s">
        <v>9</v>
      </c>
      <c r="D12" s="4" t="s">
        <v>10</v>
      </c>
      <c r="E12">
        <f>MAX(E8:E10)</f>
        <v>0</v>
      </c>
      <c r="F12">
        <f t="shared" ref="F12:K12" si="6">MAX(F8:F10)</f>
        <v>0</v>
      </c>
      <c r="G12">
        <f t="shared" si="6"/>
        <v>0</v>
      </c>
      <c r="H12">
        <f t="shared" si="6"/>
        <v>0</v>
      </c>
      <c r="I12">
        <f t="shared" si="6"/>
        <v>0</v>
      </c>
      <c r="J12">
        <f t="shared" si="6"/>
        <v>0</v>
      </c>
      <c r="K12">
        <f t="shared" si="6"/>
        <v>0</v>
      </c>
    </row>
    <row r="13" spans="1:11" x14ac:dyDescent="0.25">
      <c r="A13" t="s">
        <v>146</v>
      </c>
      <c r="B13" s="4" t="s">
        <v>4</v>
      </c>
      <c r="C13" s="4" t="s">
        <v>9</v>
      </c>
      <c r="D13" s="4" t="s">
        <v>10</v>
      </c>
      <c r="E13">
        <f>MIN(E8:E10)</f>
        <v>0</v>
      </c>
      <c r="F13">
        <f t="shared" ref="F13:K13" si="7">MIN(F8:F10)</f>
        <v>0</v>
      </c>
      <c r="G13">
        <f t="shared" si="7"/>
        <v>0</v>
      </c>
      <c r="H13">
        <f t="shared" si="7"/>
        <v>0</v>
      </c>
      <c r="I13">
        <f t="shared" si="7"/>
        <v>0</v>
      </c>
      <c r="J13">
        <f t="shared" si="7"/>
        <v>0</v>
      </c>
      <c r="K13">
        <f t="shared" si="7"/>
        <v>0</v>
      </c>
    </row>
    <row r="14" spans="1:11" x14ac:dyDescent="0.25">
      <c r="A14" t="s">
        <v>123</v>
      </c>
      <c r="B14" s="4" t="s">
        <v>4</v>
      </c>
      <c r="C14" s="4" t="s">
        <v>5</v>
      </c>
      <c r="D14" s="4" t="s">
        <v>7</v>
      </c>
      <c r="I14">
        <f>SUM(E14:H14)</f>
        <v>0</v>
      </c>
    </row>
    <row r="15" spans="1:11" x14ac:dyDescent="0.25">
      <c r="A15" t="s">
        <v>124</v>
      </c>
      <c r="B15" s="4" t="s">
        <v>4</v>
      </c>
      <c r="C15" s="4" t="s">
        <v>5</v>
      </c>
      <c r="D15" s="4" t="s">
        <v>7</v>
      </c>
      <c r="I15">
        <f t="shared" ref="I15:I16" si="8">SUM(E15:H15)</f>
        <v>0</v>
      </c>
    </row>
    <row r="16" spans="1:11" x14ac:dyDescent="0.25">
      <c r="A16" t="s">
        <v>125</v>
      </c>
      <c r="B16" s="4" t="s">
        <v>4</v>
      </c>
      <c r="C16" s="4" t="s">
        <v>5</v>
      </c>
      <c r="D16" s="4" t="s">
        <v>7</v>
      </c>
      <c r="I16">
        <f t="shared" si="8"/>
        <v>0</v>
      </c>
    </row>
    <row r="17" spans="1:11" x14ac:dyDescent="0.25">
      <c r="A17" t="s">
        <v>126</v>
      </c>
      <c r="B17" s="4" t="s">
        <v>4</v>
      </c>
      <c r="C17" s="4" t="s">
        <v>5</v>
      </c>
      <c r="D17" s="4" t="s">
        <v>7</v>
      </c>
      <c r="E17">
        <f t="shared" ref="E17:J17" si="9">SUM(E14:E16)/3</f>
        <v>0</v>
      </c>
      <c r="F17">
        <f t="shared" si="9"/>
        <v>0</v>
      </c>
      <c r="G17">
        <f t="shared" si="9"/>
        <v>0</v>
      </c>
      <c r="H17">
        <f t="shared" si="9"/>
        <v>0</v>
      </c>
      <c r="I17">
        <f t="shared" si="9"/>
        <v>0</v>
      </c>
      <c r="J17">
        <f t="shared" si="9"/>
        <v>0</v>
      </c>
      <c r="K17">
        <f>SUM(K14:K16)/3</f>
        <v>0</v>
      </c>
    </row>
    <row r="18" spans="1:11" x14ac:dyDescent="0.25">
      <c r="A18" t="s">
        <v>127</v>
      </c>
      <c r="B18" s="4" t="s">
        <v>4</v>
      </c>
      <c r="C18" s="4" t="s">
        <v>5</v>
      </c>
      <c r="D18" s="4" t="s">
        <v>7</v>
      </c>
      <c r="E18">
        <f>MAX(E14:E16)</f>
        <v>0</v>
      </c>
      <c r="F18">
        <f t="shared" ref="F18:K18" si="10">MAX(F14:F16)</f>
        <v>0</v>
      </c>
      <c r="G18">
        <f t="shared" si="10"/>
        <v>0</v>
      </c>
      <c r="H18">
        <f t="shared" si="10"/>
        <v>0</v>
      </c>
      <c r="I18">
        <f t="shared" si="10"/>
        <v>0</v>
      </c>
      <c r="J18">
        <f t="shared" si="10"/>
        <v>0</v>
      </c>
      <c r="K18">
        <f t="shared" si="10"/>
        <v>0</v>
      </c>
    </row>
    <row r="19" spans="1:11" x14ac:dyDescent="0.25">
      <c r="A19" t="s">
        <v>128</v>
      </c>
      <c r="B19" s="4" t="s">
        <v>4</v>
      </c>
      <c r="C19" s="4" t="s">
        <v>5</v>
      </c>
      <c r="D19" s="4" t="s">
        <v>7</v>
      </c>
      <c r="E19">
        <f>MIN(E14:E16)</f>
        <v>0</v>
      </c>
      <c r="F19">
        <f t="shared" ref="F19:K19" si="11">MIN(F14:F16)</f>
        <v>0</v>
      </c>
      <c r="G19">
        <f t="shared" si="11"/>
        <v>0</v>
      </c>
      <c r="H19">
        <f t="shared" si="11"/>
        <v>0</v>
      </c>
      <c r="I19">
        <f t="shared" si="11"/>
        <v>0</v>
      </c>
      <c r="J19">
        <f t="shared" si="11"/>
        <v>0</v>
      </c>
      <c r="K19">
        <f t="shared" si="11"/>
        <v>0</v>
      </c>
    </row>
    <row r="20" spans="1:11" x14ac:dyDescent="0.25">
      <c r="A20" t="s">
        <v>147</v>
      </c>
      <c r="B20" s="4" t="s">
        <v>4</v>
      </c>
      <c r="C20" s="4" t="s">
        <v>9</v>
      </c>
      <c r="D20" s="4" t="s">
        <v>11</v>
      </c>
      <c r="I20">
        <f>SUM(E20:H20)</f>
        <v>0</v>
      </c>
    </row>
    <row r="21" spans="1:11" x14ac:dyDescent="0.25">
      <c r="A21" t="s">
        <v>148</v>
      </c>
      <c r="B21" s="4" t="s">
        <v>4</v>
      </c>
      <c r="C21" s="4" t="s">
        <v>9</v>
      </c>
      <c r="D21" s="4" t="s">
        <v>11</v>
      </c>
      <c r="I21">
        <f t="shared" ref="I21:I22" si="12">SUM(E21:H21)</f>
        <v>0</v>
      </c>
    </row>
    <row r="22" spans="1:11" x14ac:dyDescent="0.25">
      <c r="A22" t="s">
        <v>149</v>
      </c>
      <c r="B22" s="4" t="s">
        <v>4</v>
      </c>
      <c r="C22" s="4" t="s">
        <v>9</v>
      </c>
      <c r="D22" s="4" t="s">
        <v>11</v>
      </c>
      <c r="I22">
        <f t="shared" si="12"/>
        <v>0</v>
      </c>
    </row>
    <row r="23" spans="1:11" x14ac:dyDescent="0.25">
      <c r="A23" t="s">
        <v>150</v>
      </c>
      <c r="B23" s="4" t="s">
        <v>4</v>
      </c>
      <c r="C23" s="4" t="s">
        <v>9</v>
      </c>
      <c r="D23" s="4" t="s">
        <v>11</v>
      </c>
      <c r="E23">
        <f t="shared" ref="E23:J23" si="13">SUM(E20:E22)/3</f>
        <v>0</v>
      </c>
      <c r="F23">
        <f t="shared" si="13"/>
        <v>0</v>
      </c>
      <c r="G23">
        <f t="shared" si="13"/>
        <v>0</v>
      </c>
      <c r="H23">
        <f t="shared" si="13"/>
        <v>0</v>
      </c>
      <c r="I23">
        <f t="shared" si="13"/>
        <v>0</v>
      </c>
      <c r="J23">
        <f t="shared" si="13"/>
        <v>0</v>
      </c>
      <c r="K23">
        <f>SUM(K20:K22)/3</f>
        <v>0</v>
      </c>
    </row>
    <row r="24" spans="1:11" x14ac:dyDescent="0.25">
      <c r="A24" t="s">
        <v>151</v>
      </c>
      <c r="B24" s="4" t="s">
        <v>4</v>
      </c>
      <c r="C24" s="4" t="s">
        <v>9</v>
      </c>
      <c r="D24" s="4" t="s">
        <v>11</v>
      </c>
      <c r="E24">
        <f>MAX(E20:E22)</f>
        <v>0</v>
      </c>
      <c r="F24">
        <f t="shared" ref="F24:K24" si="14">MAX(F20:F22)</f>
        <v>0</v>
      </c>
      <c r="G24">
        <f t="shared" si="14"/>
        <v>0</v>
      </c>
      <c r="H24">
        <f t="shared" si="14"/>
        <v>0</v>
      </c>
      <c r="I24">
        <f t="shared" si="14"/>
        <v>0</v>
      </c>
      <c r="J24">
        <f t="shared" si="14"/>
        <v>0</v>
      </c>
      <c r="K24">
        <f t="shared" si="14"/>
        <v>0</v>
      </c>
    </row>
    <row r="25" spans="1:11" x14ac:dyDescent="0.25">
      <c r="A25" t="s">
        <v>152</v>
      </c>
      <c r="B25" s="4" t="s">
        <v>4</v>
      </c>
      <c r="C25" s="4" t="s">
        <v>9</v>
      </c>
      <c r="D25" s="4" t="s">
        <v>11</v>
      </c>
      <c r="E25">
        <f>MIN(E20:E22)</f>
        <v>0</v>
      </c>
      <c r="F25">
        <f t="shared" ref="F25:K25" si="15">MIN(F20:F22)</f>
        <v>0</v>
      </c>
      <c r="G25">
        <f t="shared" si="15"/>
        <v>0</v>
      </c>
      <c r="H25">
        <f t="shared" si="15"/>
        <v>0</v>
      </c>
      <c r="I25">
        <f t="shared" si="15"/>
        <v>0</v>
      </c>
      <c r="J25">
        <f t="shared" si="15"/>
        <v>0</v>
      </c>
      <c r="K25">
        <f t="shared" si="15"/>
        <v>0</v>
      </c>
    </row>
    <row r="26" spans="1:11" x14ac:dyDescent="0.25">
      <c r="A26" t="s">
        <v>129</v>
      </c>
      <c r="B26" s="4" t="s">
        <v>4</v>
      </c>
      <c r="C26" s="4" t="s">
        <v>5</v>
      </c>
      <c r="D26" s="4" t="s">
        <v>8</v>
      </c>
      <c r="I26">
        <f>SUM(E26:H26)</f>
        <v>0</v>
      </c>
    </row>
    <row r="27" spans="1:11" x14ac:dyDescent="0.25">
      <c r="A27" t="s">
        <v>130</v>
      </c>
      <c r="B27" s="4" t="s">
        <v>4</v>
      </c>
      <c r="C27" s="4" t="s">
        <v>5</v>
      </c>
      <c r="D27" s="4" t="s">
        <v>8</v>
      </c>
      <c r="I27">
        <f t="shared" ref="I27:I28" si="16">SUM(E27:H27)</f>
        <v>0</v>
      </c>
    </row>
    <row r="28" spans="1:11" x14ac:dyDescent="0.25">
      <c r="A28" t="s">
        <v>131</v>
      </c>
      <c r="B28" s="4" t="s">
        <v>4</v>
      </c>
      <c r="C28" s="4" t="s">
        <v>5</v>
      </c>
      <c r="D28" s="4" t="s">
        <v>8</v>
      </c>
      <c r="I28">
        <f t="shared" si="16"/>
        <v>0</v>
      </c>
    </row>
    <row r="29" spans="1:11" x14ac:dyDescent="0.25">
      <c r="A29" t="s">
        <v>132</v>
      </c>
      <c r="B29" s="4" t="s">
        <v>4</v>
      </c>
      <c r="C29" s="4" t="s">
        <v>5</v>
      </c>
      <c r="D29" s="4" t="s">
        <v>8</v>
      </c>
      <c r="E29">
        <f t="shared" ref="E29:J29" si="17">SUM(E26:E28)/3</f>
        <v>0</v>
      </c>
      <c r="F29">
        <f t="shared" si="17"/>
        <v>0</v>
      </c>
      <c r="G29">
        <f t="shared" si="17"/>
        <v>0</v>
      </c>
      <c r="H29">
        <f t="shared" si="17"/>
        <v>0</v>
      </c>
      <c r="I29">
        <f t="shared" si="17"/>
        <v>0</v>
      </c>
      <c r="J29">
        <f t="shared" si="17"/>
        <v>0</v>
      </c>
      <c r="K29">
        <f>SUM(K26:K28)/3</f>
        <v>0</v>
      </c>
    </row>
    <row r="30" spans="1:11" x14ac:dyDescent="0.25">
      <c r="A30" t="s">
        <v>133</v>
      </c>
      <c r="B30" s="4" t="s">
        <v>4</v>
      </c>
      <c r="C30" s="4" t="s">
        <v>5</v>
      </c>
      <c r="D30" s="4" t="s">
        <v>8</v>
      </c>
      <c r="E30">
        <f>MAX(E26:E28)</f>
        <v>0</v>
      </c>
      <c r="F30">
        <f t="shared" ref="F30:K30" si="18">MAX(F26:F28)</f>
        <v>0</v>
      </c>
      <c r="G30">
        <f t="shared" si="18"/>
        <v>0</v>
      </c>
      <c r="H30">
        <f t="shared" si="18"/>
        <v>0</v>
      </c>
      <c r="I30">
        <f t="shared" si="18"/>
        <v>0</v>
      </c>
      <c r="J30">
        <f t="shared" si="18"/>
        <v>0</v>
      </c>
      <c r="K30">
        <f t="shared" si="18"/>
        <v>0</v>
      </c>
    </row>
    <row r="31" spans="1:11" x14ac:dyDescent="0.25">
      <c r="A31" t="s">
        <v>134</v>
      </c>
      <c r="B31" s="4" t="s">
        <v>4</v>
      </c>
      <c r="C31" s="4" t="s">
        <v>5</v>
      </c>
      <c r="D31" s="4" t="s">
        <v>8</v>
      </c>
      <c r="E31">
        <f>MIN(E26:E28)</f>
        <v>0</v>
      </c>
      <c r="F31">
        <f t="shared" ref="F31:K31" si="19">MIN(F26:F28)</f>
        <v>0</v>
      </c>
      <c r="G31">
        <f t="shared" si="19"/>
        <v>0</v>
      </c>
      <c r="H31">
        <f t="shared" si="19"/>
        <v>0</v>
      </c>
      <c r="I31">
        <f t="shared" si="19"/>
        <v>0</v>
      </c>
      <c r="J31">
        <f t="shared" si="19"/>
        <v>0</v>
      </c>
      <c r="K31">
        <f t="shared" si="19"/>
        <v>0</v>
      </c>
    </row>
    <row r="32" spans="1:11" x14ac:dyDescent="0.25">
      <c r="A32" t="s">
        <v>153</v>
      </c>
      <c r="B32" s="4" t="s">
        <v>4</v>
      </c>
      <c r="C32" s="4" t="s">
        <v>9</v>
      </c>
      <c r="D32" s="4" t="s">
        <v>12</v>
      </c>
      <c r="I32">
        <f>SUM(E32:H32)</f>
        <v>0</v>
      </c>
    </row>
    <row r="33" spans="1:11" x14ac:dyDescent="0.25">
      <c r="A33" t="s">
        <v>154</v>
      </c>
      <c r="B33" s="4" t="s">
        <v>4</v>
      </c>
      <c r="C33" s="4" t="s">
        <v>9</v>
      </c>
      <c r="D33" s="4" t="s">
        <v>12</v>
      </c>
      <c r="I33">
        <f t="shared" ref="I33:I34" si="20">SUM(E33:H33)</f>
        <v>0</v>
      </c>
    </row>
    <row r="34" spans="1:11" x14ac:dyDescent="0.25">
      <c r="A34" t="s">
        <v>155</v>
      </c>
      <c r="B34" s="4" t="s">
        <v>4</v>
      </c>
      <c r="C34" s="4" t="s">
        <v>9</v>
      </c>
      <c r="D34" s="4" t="s">
        <v>12</v>
      </c>
      <c r="I34">
        <f t="shared" si="20"/>
        <v>0</v>
      </c>
    </row>
    <row r="35" spans="1:11" x14ac:dyDescent="0.25">
      <c r="A35" t="s">
        <v>156</v>
      </c>
      <c r="B35" s="4" t="s">
        <v>4</v>
      </c>
      <c r="C35" s="4" t="s">
        <v>9</v>
      </c>
      <c r="D35" s="4" t="s">
        <v>12</v>
      </c>
      <c r="E35">
        <f t="shared" ref="E35:J35" si="21">SUM(E32:E34)/3</f>
        <v>0</v>
      </c>
      <c r="F35">
        <f t="shared" si="21"/>
        <v>0</v>
      </c>
      <c r="G35">
        <f t="shared" si="21"/>
        <v>0</v>
      </c>
      <c r="H35">
        <f t="shared" si="21"/>
        <v>0</v>
      </c>
      <c r="I35">
        <f t="shared" si="21"/>
        <v>0</v>
      </c>
      <c r="J35">
        <f t="shared" si="21"/>
        <v>0</v>
      </c>
      <c r="K35">
        <f>SUM(K32:K34)/3</f>
        <v>0</v>
      </c>
    </row>
    <row r="36" spans="1:11" x14ac:dyDescent="0.25">
      <c r="A36" t="s">
        <v>157</v>
      </c>
      <c r="B36" s="4" t="s">
        <v>4</v>
      </c>
      <c r="C36" s="4" t="s">
        <v>9</v>
      </c>
      <c r="D36" s="4" t="s">
        <v>12</v>
      </c>
      <c r="E36">
        <f>MAX(E32:E34)</f>
        <v>0</v>
      </c>
      <c r="F36">
        <f t="shared" ref="F36:K36" si="22">MAX(F32:F34)</f>
        <v>0</v>
      </c>
      <c r="G36">
        <f t="shared" si="22"/>
        <v>0</v>
      </c>
      <c r="H36">
        <f t="shared" si="22"/>
        <v>0</v>
      </c>
      <c r="I36">
        <f t="shared" si="22"/>
        <v>0</v>
      </c>
      <c r="J36">
        <f t="shared" si="22"/>
        <v>0</v>
      </c>
      <c r="K36">
        <f t="shared" si="22"/>
        <v>0</v>
      </c>
    </row>
    <row r="37" spans="1:11" x14ac:dyDescent="0.25">
      <c r="A37" t="s">
        <v>158</v>
      </c>
      <c r="B37" s="4" t="s">
        <v>4</v>
      </c>
      <c r="C37" s="4" t="s">
        <v>9</v>
      </c>
      <c r="D37" s="4" t="s">
        <v>12</v>
      </c>
      <c r="E37">
        <f>MIN(E32:E34)</f>
        <v>0</v>
      </c>
      <c r="F37">
        <f t="shared" ref="F37:K37" si="23">MIN(F32:F34)</f>
        <v>0</v>
      </c>
      <c r="G37">
        <f t="shared" si="23"/>
        <v>0</v>
      </c>
      <c r="H37">
        <f t="shared" si="23"/>
        <v>0</v>
      </c>
      <c r="I37">
        <f t="shared" si="23"/>
        <v>0</v>
      </c>
      <c r="J37">
        <f t="shared" si="23"/>
        <v>0</v>
      </c>
      <c r="K37">
        <f t="shared" si="23"/>
        <v>0</v>
      </c>
    </row>
    <row r="38" spans="1:11" x14ac:dyDescent="0.25">
      <c r="A38" t="s">
        <v>135</v>
      </c>
      <c r="B38" s="4" t="s">
        <v>4</v>
      </c>
      <c r="C38" s="4" t="s">
        <v>5</v>
      </c>
      <c r="D38" s="4" t="s">
        <v>14</v>
      </c>
      <c r="I38">
        <f>SUM(E38:H38)</f>
        <v>0</v>
      </c>
    </row>
    <row r="39" spans="1:11" x14ac:dyDescent="0.25">
      <c r="A39" t="s">
        <v>136</v>
      </c>
      <c r="B39" s="4" t="s">
        <v>4</v>
      </c>
      <c r="C39" s="4" t="s">
        <v>5</v>
      </c>
      <c r="D39" s="4" t="s">
        <v>14</v>
      </c>
      <c r="I39">
        <f t="shared" ref="I39:I40" si="24">SUM(E39:H39)</f>
        <v>0</v>
      </c>
    </row>
    <row r="40" spans="1:11" x14ac:dyDescent="0.25">
      <c r="A40" t="s">
        <v>137</v>
      </c>
      <c r="B40" s="4" t="s">
        <v>4</v>
      </c>
      <c r="C40" s="4" t="s">
        <v>5</v>
      </c>
      <c r="D40" s="4" t="s">
        <v>14</v>
      </c>
      <c r="I40">
        <f t="shared" si="24"/>
        <v>0</v>
      </c>
    </row>
    <row r="41" spans="1:11" x14ac:dyDescent="0.25">
      <c r="A41" t="s">
        <v>138</v>
      </c>
      <c r="B41" s="4" t="s">
        <v>4</v>
      </c>
      <c r="C41" s="4" t="s">
        <v>5</v>
      </c>
      <c r="D41" s="4" t="s">
        <v>14</v>
      </c>
      <c r="E41">
        <f t="shared" ref="E41:J41" si="25">SUM(E38:E40)/3</f>
        <v>0</v>
      </c>
      <c r="F41">
        <f t="shared" si="25"/>
        <v>0</v>
      </c>
      <c r="G41">
        <f t="shared" si="25"/>
        <v>0</v>
      </c>
      <c r="H41">
        <f t="shared" si="25"/>
        <v>0</v>
      </c>
      <c r="I41">
        <f t="shared" si="25"/>
        <v>0</v>
      </c>
      <c r="J41">
        <f t="shared" si="25"/>
        <v>0</v>
      </c>
      <c r="K41">
        <f>SUM(K38:K40)/3</f>
        <v>0</v>
      </c>
    </row>
    <row r="42" spans="1:11" x14ac:dyDescent="0.25">
      <c r="A42" t="s">
        <v>139</v>
      </c>
      <c r="B42" s="4" t="s">
        <v>4</v>
      </c>
      <c r="C42" s="4" t="s">
        <v>5</v>
      </c>
      <c r="D42" s="4" t="s">
        <v>14</v>
      </c>
      <c r="E42">
        <f>MAX(E38:E40)</f>
        <v>0</v>
      </c>
      <c r="F42">
        <f t="shared" ref="F42:K42" si="26">MAX(F38:F40)</f>
        <v>0</v>
      </c>
      <c r="G42">
        <f t="shared" si="26"/>
        <v>0</v>
      </c>
      <c r="H42">
        <f t="shared" si="26"/>
        <v>0</v>
      </c>
      <c r="I42">
        <f t="shared" si="26"/>
        <v>0</v>
      </c>
      <c r="J42">
        <f t="shared" si="26"/>
        <v>0</v>
      </c>
      <c r="K42">
        <f t="shared" si="26"/>
        <v>0</v>
      </c>
    </row>
    <row r="43" spans="1:11" x14ac:dyDescent="0.25">
      <c r="A43" t="s">
        <v>140</v>
      </c>
      <c r="B43" s="4" t="s">
        <v>4</v>
      </c>
      <c r="C43" s="4" t="s">
        <v>5</v>
      </c>
      <c r="D43" s="4" t="s">
        <v>14</v>
      </c>
      <c r="E43">
        <f>MIN(E38:E40)</f>
        <v>0</v>
      </c>
      <c r="F43">
        <f t="shared" ref="F43:K43" si="27">MIN(F38:F40)</f>
        <v>0</v>
      </c>
      <c r="G43">
        <f t="shared" si="27"/>
        <v>0</v>
      </c>
      <c r="H43">
        <f t="shared" si="27"/>
        <v>0</v>
      </c>
      <c r="I43">
        <f t="shared" si="27"/>
        <v>0</v>
      </c>
      <c r="J43">
        <f t="shared" si="27"/>
        <v>0</v>
      </c>
      <c r="K43">
        <f t="shared" si="27"/>
        <v>0</v>
      </c>
    </row>
    <row r="44" spans="1:11" x14ac:dyDescent="0.25">
      <c r="A44" t="s">
        <v>159</v>
      </c>
      <c r="B44" s="4" t="s">
        <v>4</v>
      </c>
      <c r="C44" s="4" t="s">
        <v>9</v>
      </c>
      <c r="D44" s="4" t="s">
        <v>15</v>
      </c>
      <c r="I44">
        <f>SUM(E44:H44)</f>
        <v>0</v>
      </c>
    </row>
    <row r="45" spans="1:11" x14ac:dyDescent="0.25">
      <c r="A45" t="s">
        <v>160</v>
      </c>
      <c r="B45" s="4" t="s">
        <v>4</v>
      </c>
      <c r="C45" s="4" t="s">
        <v>9</v>
      </c>
      <c r="D45" s="4" t="s">
        <v>15</v>
      </c>
      <c r="I45">
        <f t="shared" ref="I45:I46" si="28">SUM(E45:H45)</f>
        <v>0</v>
      </c>
    </row>
    <row r="46" spans="1:11" x14ac:dyDescent="0.25">
      <c r="A46" t="s">
        <v>161</v>
      </c>
      <c r="B46" s="4" t="s">
        <v>4</v>
      </c>
      <c r="C46" s="4" t="s">
        <v>9</v>
      </c>
      <c r="D46" s="4" t="s">
        <v>15</v>
      </c>
      <c r="I46">
        <f t="shared" si="28"/>
        <v>0</v>
      </c>
    </row>
    <row r="47" spans="1:11" x14ac:dyDescent="0.25">
      <c r="A47" t="s">
        <v>162</v>
      </c>
      <c r="B47" s="4" t="s">
        <v>4</v>
      </c>
      <c r="C47" s="4" t="s">
        <v>9</v>
      </c>
      <c r="D47" s="4" t="s">
        <v>15</v>
      </c>
      <c r="E47">
        <f t="shared" ref="E47:J47" si="29">SUM(E44:E46)/3</f>
        <v>0</v>
      </c>
      <c r="F47">
        <f t="shared" si="29"/>
        <v>0</v>
      </c>
      <c r="G47">
        <f t="shared" si="29"/>
        <v>0</v>
      </c>
      <c r="H47">
        <f t="shared" si="29"/>
        <v>0</v>
      </c>
      <c r="I47">
        <f t="shared" si="29"/>
        <v>0</v>
      </c>
      <c r="J47">
        <f t="shared" si="29"/>
        <v>0</v>
      </c>
      <c r="K47">
        <f>SUM(K44:K46)/3</f>
        <v>0</v>
      </c>
    </row>
    <row r="48" spans="1:11" x14ac:dyDescent="0.25">
      <c r="A48" t="s">
        <v>163</v>
      </c>
      <c r="B48" s="4" t="s">
        <v>4</v>
      </c>
      <c r="C48" s="4" t="s">
        <v>9</v>
      </c>
      <c r="D48" s="4" t="s">
        <v>15</v>
      </c>
      <c r="E48">
        <f>MAX(E44:E46)</f>
        <v>0</v>
      </c>
      <c r="F48">
        <f t="shared" ref="F48:K48" si="30">MAX(F44:F46)</f>
        <v>0</v>
      </c>
      <c r="G48">
        <f t="shared" si="30"/>
        <v>0</v>
      </c>
      <c r="H48">
        <f t="shared" si="30"/>
        <v>0</v>
      </c>
      <c r="I48">
        <f t="shared" si="30"/>
        <v>0</v>
      </c>
      <c r="J48">
        <f t="shared" si="30"/>
        <v>0</v>
      </c>
      <c r="K48">
        <f t="shared" si="30"/>
        <v>0</v>
      </c>
    </row>
    <row r="49" spans="1:11" x14ac:dyDescent="0.25">
      <c r="A49" t="s">
        <v>164</v>
      </c>
      <c r="B49" s="4" t="s">
        <v>4</v>
      </c>
      <c r="C49" s="4" t="s">
        <v>9</v>
      </c>
      <c r="D49" s="4" t="s">
        <v>15</v>
      </c>
      <c r="E49">
        <f>MIN(E44:E46)</f>
        <v>0</v>
      </c>
      <c r="F49">
        <f t="shared" ref="F49:K49" si="31">MIN(F44:F46)</f>
        <v>0</v>
      </c>
      <c r="G49">
        <f t="shared" si="31"/>
        <v>0</v>
      </c>
      <c r="H49">
        <f t="shared" si="31"/>
        <v>0</v>
      </c>
      <c r="I49">
        <f t="shared" si="31"/>
        <v>0</v>
      </c>
      <c r="J49">
        <f t="shared" si="31"/>
        <v>0</v>
      </c>
      <c r="K49">
        <f t="shared" si="31"/>
        <v>0</v>
      </c>
    </row>
    <row r="50" spans="1:11" x14ac:dyDescent="0.25">
      <c r="A50" t="s">
        <v>165</v>
      </c>
      <c r="B50" s="4" t="s">
        <v>13</v>
      </c>
      <c r="C50" s="4" t="s">
        <v>5</v>
      </c>
      <c r="D50" s="4" t="s">
        <v>6</v>
      </c>
      <c r="I50">
        <f>SUM(E50:H50)</f>
        <v>0</v>
      </c>
    </row>
    <row r="51" spans="1:11" x14ac:dyDescent="0.25">
      <c r="A51" t="s">
        <v>166</v>
      </c>
      <c r="B51" s="4" t="s">
        <v>13</v>
      </c>
      <c r="C51" s="4" t="s">
        <v>5</v>
      </c>
      <c r="D51" s="4" t="s">
        <v>6</v>
      </c>
      <c r="I51">
        <f t="shared" ref="I51:I52" si="32">SUM(E51:H51)</f>
        <v>0</v>
      </c>
    </row>
    <row r="52" spans="1:11" x14ac:dyDescent="0.25">
      <c r="A52" t="s">
        <v>167</v>
      </c>
      <c r="B52" s="4" t="s">
        <v>13</v>
      </c>
      <c r="C52" s="4" t="s">
        <v>5</v>
      </c>
      <c r="D52" s="4" t="s">
        <v>6</v>
      </c>
      <c r="I52">
        <f t="shared" si="32"/>
        <v>0</v>
      </c>
    </row>
    <row r="53" spans="1:11" x14ac:dyDescent="0.25">
      <c r="A53" t="s">
        <v>168</v>
      </c>
      <c r="B53" s="4" t="s">
        <v>13</v>
      </c>
      <c r="C53" s="4" t="s">
        <v>5</v>
      </c>
      <c r="D53" s="4" t="s">
        <v>6</v>
      </c>
      <c r="E53">
        <f t="shared" ref="E53:J53" si="33">SUM(E50:E52)/3</f>
        <v>0</v>
      </c>
      <c r="F53">
        <f t="shared" si="33"/>
        <v>0</v>
      </c>
      <c r="G53">
        <f t="shared" si="33"/>
        <v>0</v>
      </c>
      <c r="H53">
        <f t="shared" si="33"/>
        <v>0</v>
      </c>
      <c r="I53">
        <f t="shared" si="33"/>
        <v>0</v>
      </c>
      <c r="J53">
        <f t="shared" si="33"/>
        <v>0</v>
      </c>
      <c r="K53">
        <f>SUM(K50:K52)/3</f>
        <v>0</v>
      </c>
    </row>
    <row r="54" spans="1:11" x14ac:dyDescent="0.25">
      <c r="A54" t="s">
        <v>169</v>
      </c>
      <c r="B54" s="4" t="s">
        <v>13</v>
      </c>
      <c r="C54" s="4" t="s">
        <v>5</v>
      </c>
      <c r="D54" s="4" t="s">
        <v>6</v>
      </c>
      <c r="E54">
        <f>MAX(E50:E52)</f>
        <v>0</v>
      </c>
      <c r="F54">
        <f t="shared" ref="F54:K54" si="34">MAX(F50:F52)</f>
        <v>0</v>
      </c>
      <c r="G54">
        <f t="shared" si="34"/>
        <v>0</v>
      </c>
      <c r="H54">
        <f t="shared" si="34"/>
        <v>0</v>
      </c>
      <c r="I54">
        <f t="shared" si="34"/>
        <v>0</v>
      </c>
      <c r="J54">
        <f t="shared" si="34"/>
        <v>0</v>
      </c>
      <c r="K54">
        <f t="shared" si="34"/>
        <v>0</v>
      </c>
    </row>
    <row r="55" spans="1:11" x14ac:dyDescent="0.25">
      <c r="A55" t="s">
        <v>170</v>
      </c>
      <c r="B55" s="4" t="s">
        <v>13</v>
      </c>
      <c r="C55" s="4" t="s">
        <v>5</v>
      </c>
      <c r="D55" s="4" t="s">
        <v>6</v>
      </c>
      <c r="E55">
        <f>MIN(E50:E52)</f>
        <v>0</v>
      </c>
      <c r="F55">
        <f t="shared" ref="F55:K55" si="35">MIN(F50:F52)</f>
        <v>0</v>
      </c>
      <c r="G55">
        <f t="shared" si="35"/>
        <v>0</v>
      </c>
      <c r="H55">
        <f t="shared" si="35"/>
        <v>0</v>
      </c>
      <c r="I55">
        <f t="shared" si="35"/>
        <v>0</v>
      </c>
      <c r="J55">
        <f t="shared" si="35"/>
        <v>0</v>
      </c>
      <c r="K55">
        <f t="shared" si="35"/>
        <v>0</v>
      </c>
    </row>
    <row r="56" spans="1:11" x14ac:dyDescent="0.25">
      <c r="A56" t="s">
        <v>189</v>
      </c>
      <c r="B56" s="4" t="s">
        <v>13</v>
      </c>
      <c r="C56" s="4" t="s">
        <v>9</v>
      </c>
      <c r="D56" s="4" t="s">
        <v>10</v>
      </c>
      <c r="I56">
        <f>SUM(E56:H56)</f>
        <v>0</v>
      </c>
    </row>
    <row r="57" spans="1:11" x14ac:dyDescent="0.25">
      <c r="A57" t="s">
        <v>190</v>
      </c>
      <c r="B57" s="4" t="s">
        <v>13</v>
      </c>
      <c r="C57" s="4" t="s">
        <v>9</v>
      </c>
      <c r="D57" s="4" t="s">
        <v>10</v>
      </c>
      <c r="I57">
        <f t="shared" ref="I57:I58" si="36">SUM(E57:H57)</f>
        <v>0</v>
      </c>
    </row>
    <row r="58" spans="1:11" x14ac:dyDescent="0.25">
      <c r="A58" t="s">
        <v>191</v>
      </c>
      <c r="B58" s="4" t="s">
        <v>13</v>
      </c>
      <c r="C58" s="4" t="s">
        <v>9</v>
      </c>
      <c r="D58" s="4" t="s">
        <v>10</v>
      </c>
      <c r="I58">
        <f t="shared" si="36"/>
        <v>0</v>
      </c>
    </row>
    <row r="59" spans="1:11" x14ac:dyDescent="0.25">
      <c r="A59" t="s">
        <v>192</v>
      </c>
      <c r="B59" s="4" t="s">
        <v>13</v>
      </c>
      <c r="C59" s="4" t="s">
        <v>9</v>
      </c>
      <c r="D59" s="4" t="s">
        <v>10</v>
      </c>
      <c r="E59">
        <f t="shared" ref="E59:J59" si="37">SUM(E56:E58)/3</f>
        <v>0</v>
      </c>
      <c r="F59">
        <f t="shared" si="37"/>
        <v>0</v>
      </c>
      <c r="G59">
        <f t="shared" si="37"/>
        <v>0</v>
      </c>
      <c r="H59">
        <f t="shared" si="37"/>
        <v>0</v>
      </c>
      <c r="I59">
        <f t="shared" si="37"/>
        <v>0</v>
      </c>
      <c r="J59">
        <f t="shared" si="37"/>
        <v>0</v>
      </c>
      <c r="K59">
        <f>SUM(K56:K58)/3</f>
        <v>0</v>
      </c>
    </row>
    <row r="60" spans="1:11" x14ac:dyDescent="0.25">
      <c r="A60" t="s">
        <v>193</v>
      </c>
      <c r="B60" s="4" t="s">
        <v>13</v>
      </c>
      <c r="C60" s="4" t="s">
        <v>9</v>
      </c>
      <c r="D60" s="4" t="s">
        <v>10</v>
      </c>
      <c r="E60">
        <f>MAX(E56:E58)</f>
        <v>0</v>
      </c>
      <c r="F60">
        <f t="shared" ref="F60:K60" si="38">MAX(F56:F58)</f>
        <v>0</v>
      </c>
      <c r="G60">
        <f t="shared" si="38"/>
        <v>0</v>
      </c>
      <c r="H60">
        <f t="shared" si="38"/>
        <v>0</v>
      </c>
      <c r="I60">
        <f t="shared" si="38"/>
        <v>0</v>
      </c>
      <c r="J60">
        <f t="shared" si="38"/>
        <v>0</v>
      </c>
      <c r="K60">
        <f t="shared" si="38"/>
        <v>0</v>
      </c>
    </row>
    <row r="61" spans="1:11" x14ac:dyDescent="0.25">
      <c r="A61" t="s">
        <v>194</v>
      </c>
      <c r="B61" s="4" t="s">
        <v>13</v>
      </c>
      <c r="C61" s="4" t="s">
        <v>9</v>
      </c>
      <c r="D61" s="4" t="s">
        <v>10</v>
      </c>
      <c r="E61">
        <f>MIN(E56:E58)</f>
        <v>0</v>
      </c>
      <c r="F61">
        <f t="shared" ref="F61:K61" si="39">MIN(F56:F58)</f>
        <v>0</v>
      </c>
      <c r="G61">
        <f t="shared" si="39"/>
        <v>0</v>
      </c>
      <c r="H61">
        <f t="shared" si="39"/>
        <v>0</v>
      </c>
      <c r="I61">
        <f t="shared" si="39"/>
        <v>0</v>
      </c>
      <c r="J61">
        <f t="shared" si="39"/>
        <v>0</v>
      </c>
      <c r="K61">
        <f t="shared" si="39"/>
        <v>0</v>
      </c>
    </row>
    <row r="62" spans="1:11" x14ac:dyDescent="0.25">
      <c r="A62" t="s">
        <v>171</v>
      </c>
      <c r="B62" s="4" t="s">
        <v>13</v>
      </c>
      <c r="C62" s="4" t="s">
        <v>5</v>
      </c>
      <c r="D62" s="4" t="s">
        <v>7</v>
      </c>
      <c r="I62">
        <f>SUM(E62:H62)</f>
        <v>0</v>
      </c>
    </row>
    <row r="63" spans="1:11" x14ac:dyDescent="0.25">
      <c r="A63" t="s">
        <v>172</v>
      </c>
      <c r="B63" s="4" t="s">
        <v>13</v>
      </c>
      <c r="C63" s="4" t="s">
        <v>5</v>
      </c>
      <c r="D63" s="4" t="s">
        <v>7</v>
      </c>
      <c r="I63">
        <f t="shared" ref="I63:I64" si="40">SUM(E63:H63)</f>
        <v>0</v>
      </c>
    </row>
    <row r="64" spans="1:11" x14ac:dyDescent="0.25">
      <c r="A64" t="s">
        <v>173</v>
      </c>
      <c r="B64" s="4" t="s">
        <v>13</v>
      </c>
      <c r="C64" s="4" t="s">
        <v>5</v>
      </c>
      <c r="D64" s="4" t="s">
        <v>7</v>
      </c>
      <c r="I64">
        <f t="shared" si="40"/>
        <v>0</v>
      </c>
    </row>
    <row r="65" spans="1:11" x14ac:dyDescent="0.25">
      <c r="A65" t="s">
        <v>174</v>
      </c>
      <c r="B65" s="4" t="s">
        <v>13</v>
      </c>
      <c r="C65" s="4" t="s">
        <v>5</v>
      </c>
      <c r="D65" s="4" t="s">
        <v>7</v>
      </c>
      <c r="E65">
        <f t="shared" ref="E65:J65" si="41">SUM(E62:E64)/3</f>
        <v>0</v>
      </c>
      <c r="F65">
        <f t="shared" si="41"/>
        <v>0</v>
      </c>
      <c r="G65">
        <f t="shared" si="41"/>
        <v>0</v>
      </c>
      <c r="H65">
        <f t="shared" si="41"/>
        <v>0</v>
      </c>
      <c r="I65">
        <f t="shared" si="41"/>
        <v>0</v>
      </c>
      <c r="J65">
        <f t="shared" si="41"/>
        <v>0</v>
      </c>
      <c r="K65">
        <f>SUM(K62:K64)/3</f>
        <v>0</v>
      </c>
    </row>
    <row r="66" spans="1:11" x14ac:dyDescent="0.25">
      <c r="A66" t="s">
        <v>175</v>
      </c>
      <c r="B66" s="4" t="s">
        <v>13</v>
      </c>
      <c r="C66" s="4" t="s">
        <v>5</v>
      </c>
      <c r="D66" s="4" t="s">
        <v>7</v>
      </c>
      <c r="E66">
        <f>MAX(E62:E64)</f>
        <v>0</v>
      </c>
      <c r="F66">
        <f t="shared" ref="F66:K66" si="42">MAX(F62:F64)</f>
        <v>0</v>
      </c>
      <c r="G66">
        <f t="shared" si="42"/>
        <v>0</v>
      </c>
      <c r="H66">
        <f t="shared" si="42"/>
        <v>0</v>
      </c>
      <c r="I66">
        <f t="shared" si="42"/>
        <v>0</v>
      </c>
      <c r="J66">
        <f t="shared" si="42"/>
        <v>0</v>
      </c>
      <c r="K66">
        <f t="shared" si="42"/>
        <v>0</v>
      </c>
    </row>
    <row r="67" spans="1:11" x14ac:dyDescent="0.25">
      <c r="A67" t="s">
        <v>176</v>
      </c>
      <c r="B67" s="4" t="s">
        <v>13</v>
      </c>
      <c r="C67" s="4" t="s">
        <v>5</v>
      </c>
      <c r="D67" s="4" t="s">
        <v>7</v>
      </c>
      <c r="E67">
        <f>MIN(E62:E64)</f>
        <v>0</v>
      </c>
      <c r="F67">
        <f t="shared" ref="F67:K67" si="43">MIN(F62:F64)</f>
        <v>0</v>
      </c>
      <c r="G67">
        <f t="shared" si="43"/>
        <v>0</v>
      </c>
      <c r="H67">
        <f t="shared" si="43"/>
        <v>0</v>
      </c>
      <c r="I67">
        <f t="shared" si="43"/>
        <v>0</v>
      </c>
      <c r="J67">
        <f t="shared" si="43"/>
        <v>0</v>
      </c>
      <c r="K67">
        <f t="shared" si="43"/>
        <v>0</v>
      </c>
    </row>
    <row r="68" spans="1:11" x14ac:dyDescent="0.25">
      <c r="A68" t="s">
        <v>195</v>
      </c>
      <c r="B68" s="4" t="s">
        <v>13</v>
      </c>
      <c r="C68" s="4" t="s">
        <v>9</v>
      </c>
      <c r="D68" s="4" t="s">
        <v>11</v>
      </c>
      <c r="I68">
        <f>SUM(E68:H68)</f>
        <v>0</v>
      </c>
    </row>
    <row r="69" spans="1:11" x14ac:dyDescent="0.25">
      <c r="A69" t="s">
        <v>196</v>
      </c>
      <c r="B69" s="4" t="s">
        <v>13</v>
      </c>
      <c r="C69" s="4" t="s">
        <v>9</v>
      </c>
      <c r="D69" s="4" t="s">
        <v>11</v>
      </c>
      <c r="I69">
        <f t="shared" ref="I69:I70" si="44">SUM(E69:H69)</f>
        <v>0</v>
      </c>
    </row>
    <row r="70" spans="1:11" x14ac:dyDescent="0.25">
      <c r="A70" t="s">
        <v>197</v>
      </c>
      <c r="B70" s="4" t="s">
        <v>13</v>
      </c>
      <c r="C70" s="4" t="s">
        <v>9</v>
      </c>
      <c r="D70" s="4" t="s">
        <v>11</v>
      </c>
      <c r="I70">
        <f t="shared" si="44"/>
        <v>0</v>
      </c>
    </row>
    <row r="71" spans="1:11" x14ac:dyDescent="0.25">
      <c r="A71" t="s">
        <v>198</v>
      </c>
      <c r="B71" s="4" t="s">
        <v>13</v>
      </c>
      <c r="C71" s="4" t="s">
        <v>9</v>
      </c>
      <c r="D71" s="4" t="s">
        <v>11</v>
      </c>
      <c r="E71">
        <f t="shared" ref="E71:J71" si="45">SUM(E68:E70)/3</f>
        <v>0</v>
      </c>
      <c r="F71">
        <f t="shared" si="45"/>
        <v>0</v>
      </c>
      <c r="G71">
        <f t="shared" si="45"/>
        <v>0</v>
      </c>
      <c r="H71">
        <f t="shared" si="45"/>
        <v>0</v>
      </c>
      <c r="I71">
        <f t="shared" si="45"/>
        <v>0</v>
      </c>
      <c r="J71">
        <f t="shared" si="45"/>
        <v>0</v>
      </c>
      <c r="K71">
        <f>SUM(K68:K70)/3</f>
        <v>0</v>
      </c>
    </row>
    <row r="72" spans="1:11" x14ac:dyDescent="0.25">
      <c r="A72" t="s">
        <v>199</v>
      </c>
      <c r="B72" s="4" t="s">
        <v>13</v>
      </c>
      <c r="C72" s="4" t="s">
        <v>9</v>
      </c>
      <c r="D72" s="4" t="s">
        <v>11</v>
      </c>
      <c r="E72">
        <f>MAX(E68:E70)</f>
        <v>0</v>
      </c>
      <c r="F72">
        <f t="shared" ref="F72:K72" si="46">MAX(F68:F70)</f>
        <v>0</v>
      </c>
      <c r="G72">
        <f t="shared" si="46"/>
        <v>0</v>
      </c>
      <c r="H72">
        <f t="shared" si="46"/>
        <v>0</v>
      </c>
      <c r="I72">
        <f t="shared" si="46"/>
        <v>0</v>
      </c>
      <c r="J72">
        <f t="shared" si="46"/>
        <v>0</v>
      </c>
      <c r="K72">
        <f t="shared" si="46"/>
        <v>0</v>
      </c>
    </row>
    <row r="73" spans="1:11" x14ac:dyDescent="0.25">
      <c r="A73" t="s">
        <v>200</v>
      </c>
      <c r="B73" s="4" t="s">
        <v>13</v>
      </c>
      <c r="C73" s="4" t="s">
        <v>9</v>
      </c>
      <c r="D73" s="4" t="s">
        <v>11</v>
      </c>
      <c r="E73">
        <f>MIN(E68:E70)</f>
        <v>0</v>
      </c>
      <c r="F73">
        <f t="shared" ref="F73:K73" si="47">MIN(F68:F70)</f>
        <v>0</v>
      </c>
      <c r="G73">
        <f t="shared" si="47"/>
        <v>0</v>
      </c>
      <c r="H73">
        <f t="shared" si="47"/>
        <v>0</v>
      </c>
      <c r="I73">
        <f t="shared" si="47"/>
        <v>0</v>
      </c>
      <c r="J73">
        <f t="shared" si="47"/>
        <v>0</v>
      </c>
      <c r="K73">
        <f t="shared" si="47"/>
        <v>0</v>
      </c>
    </row>
    <row r="74" spans="1:11" x14ac:dyDescent="0.25">
      <c r="A74" t="s">
        <v>177</v>
      </c>
      <c r="B74" s="4" t="s">
        <v>13</v>
      </c>
      <c r="C74" s="4" t="s">
        <v>5</v>
      </c>
      <c r="D74" s="4" t="s">
        <v>8</v>
      </c>
      <c r="I74">
        <f>SUM(E74:H74)</f>
        <v>0</v>
      </c>
    </row>
    <row r="75" spans="1:11" x14ac:dyDescent="0.25">
      <c r="A75" t="s">
        <v>178</v>
      </c>
      <c r="B75" s="4" t="s">
        <v>13</v>
      </c>
      <c r="C75" s="4" t="s">
        <v>5</v>
      </c>
      <c r="D75" s="4" t="s">
        <v>8</v>
      </c>
      <c r="I75">
        <f t="shared" ref="I75:I76" si="48">SUM(E75:H75)</f>
        <v>0</v>
      </c>
    </row>
    <row r="76" spans="1:11" x14ac:dyDescent="0.25">
      <c r="A76" t="s">
        <v>179</v>
      </c>
      <c r="B76" s="4" t="s">
        <v>13</v>
      </c>
      <c r="C76" s="4" t="s">
        <v>5</v>
      </c>
      <c r="D76" s="4" t="s">
        <v>8</v>
      </c>
      <c r="I76">
        <f t="shared" si="48"/>
        <v>0</v>
      </c>
    </row>
    <row r="77" spans="1:11" x14ac:dyDescent="0.25">
      <c r="A77" t="s">
        <v>180</v>
      </c>
      <c r="B77" s="4" t="s">
        <v>13</v>
      </c>
      <c r="C77" s="4" t="s">
        <v>5</v>
      </c>
      <c r="D77" s="4" t="s">
        <v>8</v>
      </c>
      <c r="E77">
        <f t="shared" ref="E77:J77" si="49">SUM(E74:E76)/3</f>
        <v>0</v>
      </c>
      <c r="F77">
        <f t="shared" si="49"/>
        <v>0</v>
      </c>
      <c r="G77">
        <f t="shared" si="49"/>
        <v>0</v>
      </c>
      <c r="H77">
        <f t="shared" si="49"/>
        <v>0</v>
      </c>
      <c r="I77">
        <f t="shared" si="49"/>
        <v>0</v>
      </c>
      <c r="J77">
        <f t="shared" si="49"/>
        <v>0</v>
      </c>
      <c r="K77">
        <f>SUM(K74:K76)/3</f>
        <v>0</v>
      </c>
    </row>
    <row r="78" spans="1:11" x14ac:dyDescent="0.25">
      <c r="A78" t="s">
        <v>181</v>
      </c>
      <c r="B78" s="4" t="s">
        <v>13</v>
      </c>
      <c r="C78" s="4" t="s">
        <v>5</v>
      </c>
      <c r="D78" s="4" t="s">
        <v>8</v>
      </c>
      <c r="E78">
        <f>MAX(E74:E76)</f>
        <v>0</v>
      </c>
      <c r="F78">
        <f t="shared" ref="F78:K78" si="50">MAX(F74:F76)</f>
        <v>0</v>
      </c>
      <c r="G78">
        <f t="shared" si="50"/>
        <v>0</v>
      </c>
      <c r="H78">
        <f t="shared" si="50"/>
        <v>0</v>
      </c>
      <c r="I78">
        <f t="shared" si="50"/>
        <v>0</v>
      </c>
      <c r="J78">
        <f t="shared" si="50"/>
        <v>0</v>
      </c>
      <c r="K78">
        <f t="shared" si="50"/>
        <v>0</v>
      </c>
    </row>
    <row r="79" spans="1:11" x14ac:dyDescent="0.25">
      <c r="A79" t="s">
        <v>182</v>
      </c>
      <c r="B79" s="4" t="s">
        <v>13</v>
      </c>
      <c r="C79" s="4" t="s">
        <v>5</v>
      </c>
      <c r="D79" s="4" t="s">
        <v>8</v>
      </c>
      <c r="E79">
        <f>MIN(E74:E76)</f>
        <v>0</v>
      </c>
      <c r="F79">
        <f t="shared" ref="F79:K79" si="51">MIN(F74:F76)</f>
        <v>0</v>
      </c>
      <c r="G79">
        <f t="shared" si="51"/>
        <v>0</v>
      </c>
      <c r="H79">
        <f t="shared" si="51"/>
        <v>0</v>
      </c>
      <c r="I79">
        <f t="shared" si="51"/>
        <v>0</v>
      </c>
      <c r="J79">
        <f t="shared" si="51"/>
        <v>0</v>
      </c>
      <c r="K79">
        <f t="shared" si="51"/>
        <v>0</v>
      </c>
    </row>
    <row r="80" spans="1:11" x14ac:dyDescent="0.25">
      <c r="A80" t="s">
        <v>201</v>
      </c>
      <c r="B80" s="4" t="s">
        <v>13</v>
      </c>
      <c r="C80" s="4" t="s">
        <v>9</v>
      </c>
      <c r="D80" s="4" t="s">
        <v>12</v>
      </c>
      <c r="I80">
        <f>SUM(E80:H80)</f>
        <v>0</v>
      </c>
    </row>
    <row r="81" spans="1:11" x14ac:dyDescent="0.25">
      <c r="A81" t="s">
        <v>202</v>
      </c>
      <c r="B81" s="4" t="s">
        <v>13</v>
      </c>
      <c r="C81" s="4" t="s">
        <v>9</v>
      </c>
      <c r="D81" s="4" t="s">
        <v>12</v>
      </c>
      <c r="I81">
        <f t="shared" ref="I81:I82" si="52">SUM(E81:H81)</f>
        <v>0</v>
      </c>
    </row>
    <row r="82" spans="1:11" x14ac:dyDescent="0.25">
      <c r="A82" t="s">
        <v>203</v>
      </c>
      <c r="B82" s="4" t="s">
        <v>13</v>
      </c>
      <c r="C82" s="4" t="s">
        <v>9</v>
      </c>
      <c r="D82" s="4" t="s">
        <v>12</v>
      </c>
      <c r="I82">
        <f t="shared" si="52"/>
        <v>0</v>
      </c>
    </row>
    <row r="83" spans="1:11" x14ac:dyDescent="0.25">
      <c r="A83" t="s">
        <v>204</v>
      </c>
      <c r="B83" s="4" t="s">
        <v>13</v>
      </c>
      <c r="C83" s="4" t="s">
        <v>9</v>
      </c>
      <c r="D83" s="4" t="s">
        <v>12</v>
      </c>
      <c r="E83">
        <f t="shared" ref="E83:J83" si="53">SUM(E80:E82)/3</f>
        <v>0</v>
      </c>
      <c r="F83">
        <f t="shared" si="53"/>
        <v>0</v>
      </c>
      <c r="G83">
        <f t="shared" si="53"/>
        <v>0</v>
      </c>
      <c r="H83">
        <f t="shared" si="53"/>
        <v>0</v>
      </c>
      <c r="I83">
        <f t="shared" si="53"/>
        <v>0</v>
      </c>
      <c r="J83">
        <f t="shared" si="53"/>
        <v>0</v>
      </c>
      <c r="K83">
        <f>SUM(K80:K82)/3</f>
        <v>0</v>
      </c>
    </row>
    <row r="84" spans="1:11" x14ac:dyDescent="0.25">
      <c r="A84" t="s">
        <v>205</v>
      </c>
      <c r="B84" s="4" t="s">
        <v>13</v>
      </c>
      <c r="C84" s="4" t="s">
        <v>9</v>
      </c>
      <c r="D84" s="4" t="s">
        <v>12</v>
      </c>
      <c r="E84">
        <f>MAX(E80:E82)</f>
        <v>0</v>
      </c>
      <c r="F84">
        <f t="shared" ref="F84:K84" si="54">MAX(F80:F82)</f>
        <v>0</v>
      </c>
      <c r="G84">
        <f t="shared" si="54"/>
        <v>0</v>
      </c>
      <c r="H84">
        <f t="shared" si="54"/>
        <v>0</v>
      </c>
      <c r="I84">
        <f t="shared" si="54"/>
        <v>0</v>
      </c>
      <c r="J84">
        <f t="shared" si="54"/>
        <v>0</v>
      </c>
      <c r="K84">
        <f t="shared" si="54"/>
        <v>0</v>
      </c>
    </row>
    <row r="85" spans="1:11" x14ac:dyDescent="0.25">
      <c r="A85" t="s">
        <v>206</v>
      </c>
      <c r="B85" s="4" t="s">
        <v>13</v>
      </c>
      <c r="C85" s="4" t="s">
        <v>9</v>
      </c>
      <c r="D85" s="4" t="s">
        <v>12</v>
      </c>
      <c r="E85">
        <f>MIN(E80:E82)</f>
        <v>0</v>
      </c>
      <c r="F85">
        <f t="shared" ref="F85:K85" si="55">MIN(F80:F82)</f>
        <v>0</v>
      </c>
      <c r="G85">
        <f t="shared" si="55"/>
        <v>0</v>
      </c>
      <c r="H85">
        <f t="shared" si="55"/>
        <v>0</v>
      </c>
      <c r="I85">
        <f t="shared" si="55"/>
        <v>0</v>
      </c>
      <c r="J85">
        <f t="shared" si="55"/>
        <v>0</v>
      </c>
      <c r="K85">
        <f t="shared" si="55"/>
        <v>0</v>
      </c>
    </row>
    <row r="86" spans="1:11" x14ac:dyDescent="0.25">
      <c r="A86" t="s">
        <v>183</v>
      </c>
      <c r="B86" s="4" t="s">
        <v>13</v>
      </c>
      <c r="C86" s="4" t="s">
        <v>5</v>
      </c>
      <c r="D86" s="4" t="s">
        <v>14</v>
      </c>
      <c r="I86">
        <f>SUM(E86:H86)</f>
        <v>0</v>
      </c>
    </row>
    <row r="87" spans="1:11" x14ac:dyDescent="0.25">
      <c r="A87" t="s">
        <v>184</v>
      </c>
      <c r="B87" s="4" t="s">
        <v>13</v>
      </c>
      <c r="C87" s="4" t="s">
        <v>5</v>
      </c>
      <c r="D87" s="4" t="s">
        <v>14</v>
      </c>
      <c r="I87">
        <f t="shared" ref="I87:I88" si="56">SUM(E87:H87)</f>
        <v>0</v>
      </c>
    </row>
    <row r="88" spans="1:11" x14ac:dyDescent="0.25">
      <c r="A88" t="s">
        <v>185</v>
      </c>
      <c r="B88" s="4" t="s">
        <v>13</v>
      </c>
      <c r="C88" s="4" t="s">
        <v>5</v>
      </c>
      <c r="D88" s="4" t="s">
        <v>14</v>
      </c>
      <c r="I88">
        <f t="shared" si="56"/>
        <v>0</v>
      </c>
    </row>
    <row r="89" spans="1:11" x14ac:dyDescent="0.25">
      <c r="A89" t="s">
        <v>186</v>
      </c>
      <c r="B89" s="4" t="s">
        <v>13</v>
      </c>
      <c r="C89" s="4" t="s">
        <v>5</v>
      </c>
      <c r="D89" s="4" t="s">
        <v>14</v>
      </c>
      <c r="E89">
        <f t="shared" ref="E89:J89" si="57">SUM(E86:E88)/3</f>
        <v>0</v>
      </c>
      <c r="F89">
        <f t="shared" si="57"/>
        <v>0</v>
      </c>
      <c r="G89">
        <f t="shared" si="57"/>
        <v>0</v>
      </c>
      <c r="H89">
        <f t="shared" si="57"/>
        <v>0</v>
      </c>
      <c r="I89">
        <f t="shared" si="57"/>
        <v>0</v>
      </c>
      <c r="J89">
        <f t="shared" si="57"/>
        <v>0</v>
      </c>
      <c r="K89">
        <f>SUM(K86:K88)/3</f>
        <v>0</v>
      </c>
    </row>
    <row r="90" spans="1:11" x14ac:dyDescent="0.25">
      <c r="A90" t="s">
        <v>187</v>
      </c>
      <c r="B90" s="4" t="s">
        <v>13</v>
      </c>
      <c r="C90" s="4" t="s">
        <v>5</v>
      </c>
      <c r="D90" s="4" t="s">
        <v>14</v>
      </c>
      <c r="E90">
        <f>MAX(E86:E88)</f>
        <v>0</v>
      </c>
      <c r="F90">
        <f t="shared" ref="F90:K90" si="58">MAX(F86:F88)</f>
        <v>0</v>
      </c>
      <c r="G90">
        <f t="shared" si="58"/>
        <v>0</v>
      </c>
      <c r="H90">
        <f t="shared" si="58"/>
        <v>0</v>
      </c>
      <c r="I90">
        <f t="shared" si="58"/>
        <v>0</v>
      </c>
      <c r="J90">
        <f t="shared" si="58"/>
        <v>0</v>
      </c>
      <c r="K90">
        <f t="shared" si="58"/>
        <v>0</v>
      </c>
    </row>
    <row r="91" spans="1:11" x14ac:dyDescent="0.25">
      <c r="A91" t="s">
        <v>188</v>
      </c>
      <c r="B91" s="4" t="s">
        <v>13</v>
      </c>
      <c r="C91" s="4" t="s">
        <v>5</v>
      </c>
      <c r="D91" s="4" t="s">
        <v>14</v>
      </c>
      <c r="E91">
        <f>MIN(E86:E88)</f>
        <v>0</v>
      </c>
      <c r="F91">
        <f t="shared" ref="F91:K91" si="59">MIN(F86:F88)</f>
        <v>0</v>
      </c>
      <c r="G91">
        <f t="shared" si="59"/>
        <v>0</v>
      </c>
      <c r="H91">
        <f t="shared" si="59"/>
        <v>0</v>
      </c>
      <c r="I91">
        <f t="shared" si="59"/>
        <v>0</v>
      </c>
      <c r="J91">
        <f t="shared" si="59"/>
        <v>0</v>
      </c>
      <c r="K91">
        <f t="shared" si="59"/>
        <v>0</v>
      </c>
    </row>
    <row r="92" spans="1:11" x14ac:dyDescent="0.25">
      <c r="A92" t="s">
        <v>207</v>
      </c>
      <c r="B92" s="4" t="s">
        <v>13</v>
      </c>
      <c r="C92" s="4" t="s">
        <v>9</v>
      </c>
      <c r="D92" s="4" t="s">
        <v>15</v>
      </c>
      <c r="I92">
        <f>SUM(E92:H92)</f>
        <v>0</v>
      </c>
    </row>
    <row r="93" spans="1:11" x14ac:dyDescent="0.25">
      <c r="A93" t="s">
        <v>208</v>
      </c>
      <c r="B93" s="4" t="s">
        <v>13</v>
      </c>
      <c r="C93" s="4" t="s">
        <v>9</v>
      </c>
      <c r="D93" s="4" t="s">
        <v>15</v>
      </c>
      <c r="I93">
        <f t="shared" ref="I93:I94" si="60">SUM(E93:H93)</f>
        <v>0</v>
      </c>
    </row>
    <row r="94" spans="1:11" x14ac:dyDescent="0.25">
      <c r="A94" t="s">
        <v>209</v>
      </c>
      <c r="B94" s="4" t="s">
        <v>13</v>
      </c>
      <c r="C94" s="4" t="s">
        <v>9</v>
      </c>
      <c r="D94" s="4" t="s">
        <v>15</v>
      </c>
      <c r="I94">
        <f t="shared" si="60"/>
        <v>0</v>
      </c>
    </row>
    <row r="95" spans="1:11" x14ac:dyDescent="0.25">
      <c r="A95" t="s">
        <v>210</v>
      </c>
      <c r="B95" s="4" t="s">
        <v>13</v>
      </c>
      <c r="C95" s="4" t="s">
        <v>9</v>
      </c>
      <c r="D95" s="4" t="s">
        <v>15</v>
      </c>
      <c r="E95">
        <f t="shared" ref="E95:J95" si="61">SUM(E92:E94)/3</f>
        <v>0</v>
      </c>
      <c r="F95">
        <f t="shared" si="61"/>
        <v>0</v>
      </c>
      <c r="G95">
        <f t="shared" si="61"/>
        <v>0</v>
      </c>
      <c r="H95">
        <f t="shared" si="61"/>
        <v>0</v>
      </c>
      <c r="I95">
        <f t="shared" si="61"/>
        <v>0</v>
      </c>
      <c r="J95">
        <f t="shared" si="61"/>
        <v>0</v>
      </c>
      <c r="K95">
        <f>SUM(K92:K94)/3</f>
        <v>0</v>
      </c>
    </row>
    <row r="96" spans="1:11" x14ac:dyDescent="0.25">
      <c r="A96" t="s">
        <v>211</v>
      </c>
      <c r="B96" s="4" t="s">
        <v>13</v>
      </c>
      <c r="C96" s="4" t="s">
        <v>9</v>
      </c>
      <c r="D96" s="4" t="s">
        <v>15</v>
      </c>
      <c r="E96">
        <f>MAX(E92:E94)</f>
        <v>0</v>
      </c>
      <c r="F96">
        <f t="shared" ref="F96:K96" si="62">MAX(F92:F94)</f>
        <v>0</v>
      </c>
      <c r="G96">
        <f t="shared" si="62"/>
        <v>0</v>
      </c>
      <c r="H96">
        <f t="shared" si="62"/>
        <v>0</v>
      </c>
      <c r="I96">
        <f t="shared" si="62"/>
        <v>0</v>
      </c>
      <c r="J96">
        <f t="shared" si="62"/>
        <v>0</v>
      </c>
      <c r="K96">
        <f t="shared" si="62"/>
        <v>0</v>
      </c>
    </row>
    <row r="97" spans="1:11" x14ac:dyDescent="0.25">
      <c r="A97" t="s">
        <v>212</v>
      </c>
      <c r="B97" s="4" t="s">
        <v>13</v>
      </c>
      <c r="C97" s="4" t="s">
        <v>9</v>
      </c>
      <c r="D97" s="4" t="s">
        <v>15</v>
      </c>
      <c r="E97">
        <f>MIN(E92:E94)</f>
        <v>0</v>
      </c>
      <c r="F97">
        <f t="shared" ref="F97:K97" si="63">MIN(F92:F94)</f>
        <v>0</v>
      </c>
      <c r="G97">
        <f t="shared" si="63"/>
        <v>0</v>
      </c>
      <c r="H97">
        <f t="shared" si="63"/>
        <v>0</v>
      </c>
      <c r="I97">
        <f t="shared" si="63"/>
        <v>0</v>
      </c>
      <c r="J97">
        <f t="shared" si="63"/>
        <v>0</v>
      </c>
      <c r="K97">
        <f t="shared" si="63"/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BA2D-A5E0-49F8-89CB-5FB5D16C8726}">
  <dimension ref="A1:K97"/>
  <sheetViews>
    <sheetView workbookViewId="0">
      <selection activeCell="B1" sqref="B1:D1048576"/>
    </sheetView>
  </sheetViews>
  <sheetFormatPr baseColWidth="10" defaultRowHeight="15" x14ac:dyDescent="0.25"/>
  <cols>
    <col min="2" max="4" width="11.42578125" style="4"/>
  </cols>
  <sheetData>
    <row r="1" spans="1:11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16</v>
      </c>
      <c r="F1" s="1" t="s">
        <v>17</v>
      </c>
      <c r="G1" s="1" t="s">
        <v>18</v>
      </c>
      <c r="H1" s="1" t="s">
        <v>16</v>
      </c>
      <c r="I1" s="1" t="s">
        <v>22</v>
      </c>
      <c r="J1" s="1" t="s">
        <v>2</v>
      </c>
      <c r="K1" s="1" t="s">
        <v>23</v>
      </c>
    </row>
    <row r="2" spans="1:11" x14ac:dyDescent="0.25">
      <c r="A2" t="s">
        <v>213</v>
      </c>
      <c r="B2" s="4" t="s">
        <v>4</v>
      </c>
      <c r="C2" s="4" t="s">
        <v>5</v>
      </c>
      <c r="D2" s="4" t="s">
        <v>6</v>
      </c>
      <c r="I2">
        <f>SUM(E2:H2)</f>
        <v>0</v>
      </c>
    </row>
    <row r="3" spans="1:11" x14ac:dyDescent="0.25">
      <c r="A3" t="s">
        <v>214</v>
      </c>
      <c r="B3" s="4" t="s">
        <v>4</v>
      </c>
      <c r="C3" s="4" t="s">
        <v>5</v>
      </c>
      <c r="D3" s="4" t="s">
        <v>6</v>
      </c>
      <c r="I3">
        <f t="shared" ref="I3:I4" si="0">SUM(E3:H3)</f>
        <v>0</v>
      </c>
    </row>
    <row r="4" spans="1:11" x14ac:dyDescent="0.25">
      <c r="A4" t="s">
        <v>215</v>
      </c>
      <c r="B4" s="4" t="s">
        <v>4</v>
      </c>
      <c r="C4" s="4" t="s">
        <v>5</v>
      </c>
      <c r="D4" s="4" t="s">
        <v>6</v>
      </c>
      <c r="I4">
        <f t="shared" si="0"/>
        <v>0</v>
      </c>
    </row>
    <row r="5" spans="1:11" x14ac:dyDescent="0.25">
      <c r="A5" t="s">
        <v>216</v>
      </c>
      <c r="B5" s="4" t="s">
        <v>4</v>
      </c>
      <c r="C5" s="4" t="s">
        <v>5</v>
      </c>
      <c r="D5" s="4" t="s">
        <v>6</v>
      </c>
      <c r="E5">
        <f t="shared" ref="E5:J5" si="1">SUM(E2:E4)/3</f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>SUM(K2:K4)/3</f>
        <v>0</v>
      </c>
    </row>
    <row r="6" spans="1:11" x14ac:dyDescent="0.25">
      <c r="A6" t="s">
        <v>217</v>
      </c>
      <c r="B6" s="4" t="s">
        <v>4</v>
      </c>
      <c r="C6" s="4" t="s">
        <v>5</v>
      </c>
      <c r="D6" s="4" t="s">
        <v>6</v>
      </c>
      <c r="E6">
        <f>MAX(E2:E4)</f>
        <v>0</v>
      </c>
      <c r="F6">
        <f t="shared" ref="F6:K6" si="2">MAX(F2:F4)</f>
        <v>0</v>
      </c>
      <c r="G6">
        <f t="shared" si="2"/>
        <v>0</v>
      </c>
      <c r="H6">
        <f t="shared" si="2"/>
        <v>0</v>
      </c>
      <c r="I6">
        <f t="shared" si="2"/>
        <v>0</v>
      </c>
      <c r="J6">
        <f t="shared" si="2"/>
        <v>0</v>
      </c>
      <c r="K6">
        <f t="shared" si="2"/>
        <v>0</v>
      </c>
    </row>
    <row r="7" spans="1:11" x14ac:dyDescent="0.25">
      <c r="A7" t="s">
        <v>218</v>
      </c>
      <c r="B7" s="4" t="s">
        <v>4</v>
      </c>
      <c r="C7" s="4" t="s">
        <v>5</v>
      </c>
      <c r="D7" s="4" t="s">
        <v>6</v>
      </c>
      <c r="E7">
        <f>MIN(E2:E4)</f>
        <v>0</v>
      </c>
      <c r="F7">
        <f t="shared" ref="F7:K7" si="3">MIN(F2:F4)</f>
        <v>0</v>
      </c>
      <c r="G7">
        <f t="shared" si="3"/>
        <v>0</v>
      </c>
      <c r="H7">
        <f t="shared" si="3"/>
        <v>0</v>
      </c>
      <c r="I7">
        <f t="shared" si="3"/>
        <v>0</v>
      </c>
      <c r="J7">
        <f t="shared" si="3"/>
        <v>0</v>
      </c>
      <c r="K7">
        <f t="shared" si="3"/>
        <v>0</v>
      </c>
    </row>
    <row r="8" spans="1:11" x14ac:dyDescent="0.25">
      <c r="A8" t="s">
        <v>237</v>
      </c>
      <c r="B8" s="4" t="s">
        <v>4</v>
      </c>
      <c r="C8" s="4" t="s">
        <v>9</v>
      </c>
      <c r="D8" s="4" t="s">
        <v>10</v>
      </c>
      <c r="I8">
        <f>SUM(E8:H8)</f>
        <v>0</v>
      </c>
    </row>
    <row r="9" spans="1:11" x14ac:dyDescent="0.25">
      <c r="A9" t="s">
        <v>238</v>
      </c>
      <c r="B9" s="4" t="s">
        <v>4</v>
      </c>
      <c r="C9" s="4" t="s">
        <v>9</v>
      </c>
      <c r="D9" s="4" t="s">
        <v>10</v>
      </c>
      <c r="I9">
        <f t="shared" ref="I9:I10" si="4">SUM(E9:H9)</f>
        <v>0</v>
      </c>
    </row>
    <row r="10" spans="1:11" x14ac:dyDescent="0.25">
      <c r="A10" t="s">
        <v>239</v>
      </c>
      <c r="B10" s="4" t="s">
        <v>4</v>
      </c>
      <c r="C10" s="4" t="s">
        <v>9</v>
      </c>
      <c r="D10" s="4" t="s">
        <v>10</v>
      </c>
      <c r="I10">
        <f t="shared" si="4"/>
        <v>0</v>
      </c>
    </row>
    <row r="11" spans="1:11" x14ac:dyDescent="0.25">
      <c r="A11" t="s">
        <v>240</v>
      </c>
      <c r="B11" s="4" t="s">
        <v>4</v>
      </c>
      <c r="C11" s="4" t="s">
        <v>9</v>
      </c>
      <c r="D11" s="4" t="s">
        <v>10</v>
      </c>
      <c r="E11">
        <f t="shared" ref="E11:J11" si="5">SUM(E8:E10)/3</f>
        <v>0</v>
      </c>
      <c r="F11">
        <f t="shared" si="5"/>
        <v>0</v>
      </c>
      <c r="G11">
        <f t="shared" si="5"/>
        <v>0</v>
      </c>
      <c r="H11">
        <f t="shared" si="5"/>
        <v>0</v>
      </c>
      <c r="I11">
        <f t="shared" si="5"/>
        <v>0</v>
      </c>
      <c r="J11">
        <f t="shared" si="5"/>
        <v>0</v>
      </c>
      <c r="K11">
        <f>SUM(K8:K10)/3</f>
        <v>0</v>
      </c>
    </row>
    <row r="12" spans="1:11" x14ac:dyDescent="0.25">
      <c r="A12" t="s">
        <v>241</v>
      </c>
      <c r="B12" s="4" t="s">
        <v>4</v>
      </c>
      <c r="C12" s="4" t="s">
        <v>9</v>
      </c>
      <c r="D12" s="4" t="s">
        <v>10</v>
      </c>
      <c r="E12">
        <f>MAX(E8:E10)</f>
        <v>0</v>
      </c>
      <c r="F12">
        <f t="shared" ref="F12:K12" si="6">MAX(F8:F10)</f>
        <v>0</v>
      </c>
      <c r="G12">
        <f t="shared" si="6"/>
        <v>0</v>
      </c>
      <c r="H12">
        <f t="shared" si="6"/>
        <v>0</v>
      </c>
      <c r="I12">
        <f t="shared" si="6"/>
        <v>0</v>
      </c>
      <c r="J12">
        <f t="shared" si="6"/>
        <v>0</v>
      </c>
      <c r="K12">
        <f t="shared" si="6"/>
        <v>0</v>
      </c>
    </row>
    <row r="13" spans="1:11" x14ac:dyDescent="0.25">
      <c r="A13" t="s">
        <v>242</v>
      </c>
      <c r="B13" s="4" t="s">
        <v>4</v>
      </c>
      <c r="C13" s="4" t="s">
        <v>9</v>
      </c>
      <c r="D13" s="4" t="s">
        <v>10</v>
      </c>
      <c r="E13">
        <f>MIN(E8:E10)</f>
        <v>0</v>
      </c>
      <c r="F13">
        <f t="shared" ref="F13:K13" si="7">MIN(F8:F10)</f>
        <v>0</v>
      </c>
      <c r="G13">
        <f t="shared" si="7"/>
        <v>0</v>
      </c>
      <c r="H13">
        <f t="shared" si="7"/>
        <v>0</v>
      </c>
      <c r="I13">
        <f t="shared" si="7"/>
        <v>0</v>
      </c>
      <c r="J13">
        <f t="shared" si="7"/>
        <v>0</v>
      </c>
      <c r="K13">
        <f t="shared" si="7"/>
        <v>0</v>
      </c>
    </row>
    <row r="14" spans="1:11" x14ac:dyDescent="0.25">
      <c r="A14" t="s">
        <v>219</v>
      </c>
      <c r="B14" s="4" t="s">
        <v>4</v>
      </c>
      <c r="C14" s="4" t="s">
        <v>5</v>
      </c>
      <c r="D14" s="4" t="s">
        <v>7</v>
      </c>
      <c r="I14">
        <f>SUM(E14:H14)</f>
        <v>0</v>
      </c>
    </row>
    <row r="15" spans="1:11" x14ac:dyDescent="0.25">
      <c r="A15" t="s">
        <v>220</v>
      </c>
      <c r="B15" s="4" t="s">
        <v>4</v>
      </c>
      <c r="C15" s="4" t="s">
        <v>5</v>
      </c>
      <c r="D15" s="4" t="s">
        <v>7</v>
      </c>
      <c r="I15">
        <f t="shared" ref="I15:I16" si="8">SUM(E15:H15)</f>
        <v>0</v>
      </c>
    </row>
    <row r="16" spans="1:11" x14ac:dyDescent="0.25">
      <c r="A16" t="s">
        <v>221</v>
      </c>
      <c r="B16" s="4" t="s">
        <v>4</v>
      </c>
      <c r="C16" s="4" t="s">
        <v>5</v>
      </c>
      <c r="D16" s="4" t="s">
        <v>7</v>
      </c>
      <c r="I16">
        <f t="shared" si="8"/>
        <v>0</v>
      </c>
    </row>
    <row r="17" spans="1:11" x14ac:dyDescent="0.25">
      <c r="A17" t="s">
        <v>222</v>
      </c>
      <c r="B17" s="4" t="s">
        <v>4</v>
      </c>
      <c r="C17" s="4" t="s">
        <v>5</v>
      </c>
      <c r="D17" s="4" t="s">
        <v>7</v>
      </c>
      <c r="E17">
        <f t="shared" ref="E17:J17" si="9">SUM(E14:E16)/3</f>
        <v>0</v>
      </c>
      <c r="F17">
        <f t="shared" si="9"/>
        <v>0</v>
      </c>
      <c r="G17">
        <f t="shared" si="9"/>
        <v>0</v>
      </c>
      <c r="H17">
        <f t="shared" si="9"/>
        <v>0</v>
      </c>
      <c r="I17">
        <f t="shared" si="9"/>
        <v>0</v>
      </c>
      <c r="J17">
        <f t="shared" si="9"/>
        <v>0</v>
      </c>
      <c r="K17">
        <f>SUM(K14:K16)/3</f>
        <v>0</v>
      </c>
    </row>
    <row r="18" spans="1:11" x14ac:dyDescent="0.25">
      <c r="A18" t="s">
        <v>223</v>
      </c>
      <c r="B18" s="4" t="s">
        <v>4</v>
      </c>
      <c r="C18" s="4" t="s">
        <v>5</v>
      </c>
      <c r="D18" s="4" t="s">
        <v>7</v>
      </c>
      <c r="E18">
        <f>MAX(E14:E16)</f>
        <v>0</v>
      </c>
      <c r="F18">
        <f t="shared" ref="F18:K18" si="10">MAX(F14:F16)</f>
        <v>0</v>
      </c>
      <c r="G18">
        <f t="shared" si="10"/>
        <v>0</v>
      </c>
      <c r="H18">
        <f t="shared" si="10"/>
        <v>0</v>
      </c>
      <c r="I18">
        <f t="shared" si="10"/>
        <v>0</v>
      </c>
      <c r="J18">
        <f t="shared" si="10"/>
        <v>0</v>
      </c>
      <c r="K18">
        <f t="shared" si="10"/>
        <v>0</v>
      </c>
    </row>
    <row r="19" spans="1:11" x14ac:dyDescent="0.25">
      <c r="A19" t="s">
        <v>224</v>
      </c>
      <c r="B19" s="4" t="s">
        <v>4</v>
      </c>
      <c r="C19" s="4" t="s">
        <v>5</v>
      </c>
      <c r="D19" s="4" t="s">
        <v>7</v>
      </c>
      <c r="E19">
        <f>MIN(E14:E16)</f>
        <v>0</v>
      </c>
      <c r="F19">
        <f t="shared" ref="F19:K19" si="11">MIN(F14:F16)</f>
        <v>0</v>
      </c>
      <c r="G19">
        <f t="shared" si="11"/>
        <v>0</v>
      </c>
      <c r="H19">
        <f t="shared" si="11"/>
        <v>0</v>
      </c>
      <c r="I19">
        <f t="shared" si="11"/>
        <v>0</v>
      </c>
      <c r="J19">
        <f t="shared" si="11"/>
        <v>0</v>
      </c>
      <c r="K19">
        <f t="shared" si="11"/>
        <v>0</v>
      </c>
    </row>
    <row r="20" spans="1:11" x14ac:dyDescent="0.25">
      <c r="A20" t="s">
        <v>243</v>
      </c>
      <c r="B20" s="4" t="s">
        <v>4</v>
      </c>
      <c r="C20" s="4" t="s">
        <v>9</v>
      </c>
      <c r="D20" s="4" t="s">
        <v>11</v>
      </c>
      <c r="I20">
        <f>SUM(E20:H20)</f>
        <v>0</v>
      </c>
    </row>
    <row r="21" spans="1:11" x14ac:dyDescent="0.25">
      <c r="A21" t="s">
        <v>244</v>
      </c>
      <c r="B21" s="4" t="s">
        <v>4</v>
      </c>
      <c r="C21" s="4" t="s">
        <v>9</v>
      </c>
      <c r="D21" s="4" t="s">
        <v>11</v>
      </c>
      <c r="I21">
        <f t="shared" ref="I21:I22" si="12">SUM(E21:H21)</f>
        <v>0</v>
      </c>
    </row>
    <row r="22" spans="1:11" x14ac:dyDescent="0.25">
      <c r="A22" t="s">
        <v>245</v>
      </c>
      <c r="B22" s="4" t="s">
        <v>4</v>
      </c>
      <c r="C22" s="4" t="s">
        <v>9</v>
      </c>
      <c r="D22" s="4" t="s">
        <v>11</v>
      </c>
      <c r="I22">
        <f t="shared" si="12"/>
        <v>0</v>
      </c>
    </row>
    <row r="23" spans="1:11" x14ac:dyDescent="0.25">
      <c r="A23" t="s">
        <v>246</v>
      </c>
      <c r="B23" s="4" t="s">
        <v>4</v>
      </c>
      <c r="C23" s="4" t="s">
        <v>9</v>
      </c>
      <c r="D23" s="4" t="s">
        <v>11</v>
      </c>
      <c r="E23">
        <f t="shared" ref="E23:J23" si="13">SUM(E20:E22)/3</f>
        <v>0</v>
      </c>
      <c r="F23">
        <f t="shared" si="13"/>
        <v>0</v>
      </c>
      <c r="G23">
        <f t="shared" si="13"/>
        <v>0</v>
      </c>
      <c r="H23">
        <f t="shared" si="13"/>
        <v>0</v>
      </c>
      <c r="I23">
        <f t="shared" si="13"/>
        <v>0</v>
      </c>
      <c r="J23">
        <f t="shared" si="13"/>
        <v>0</v>
      </c>
      <c r="K23">
        <f>SUM(K20:K22)/3</f>
        <v>0</v>
      </c>
    </row>
    <row r="24" spans="1:11" x14ac:dyDescent="0.25">
      <c r="A24" t="s">
        <v>247</v>
      </c>
      <c r="B24" s="4" t="s">
        <v>4</v>
      </c>
      <c r="C24" s="4" t="s">
        <v>9</v>
      </c>
      <c r="D24" s="4" t="s">
        <v>11</v>
      </c>
      <c r="E24">
        <f>MAX(E20:E22)</f>
        <v>0</v>
      </c>
      <c r="F24">
        <f t="shared" ref="F24:K24" si="14">MAX(F20:F22)</f>
        <v>0</v>
      </c>
      <c r="G24">
        <f t="shared" si="14"/>
        <v>0</v>
      </c>
      <c r="H24">
        <f t="shared" si="14"/>
        <v>0</v>
      </c>
      <c r="I24">
        <f t="shared" si="14"/>
        <v>0</v>
      </c>
      <c r="J24">
        <f t="shared" si="14"/>
        <v>0</v>
      </c>
      <c r="K24">
        <f t="shared" si="14"/>
        <v>0</v>
      </c>
    </row>
    <row r="25" spans="1:11" x14ac:dyDescent="0.25">
      <c r="A25" t="s">
        <v>248</v>
      </c>
      <c r="B25" s="4" t="s">
        <v>4</v>
      </c>
      <c r="C25" s="4" t="s">
        <v>9</v>
      </c>
      <c r="D25" s="4" t="s">
        <v>11</v>
      </c>
      <c r="E25">
        <f>MIN(E20:E22)</f>
        <v>0</v>
      </c>
      <c r="F25">
        <f t="shared" ref="F25:K25" si="15">MIN(F20:F22)</f>
        <v>0</v>
      </c>
      <c r="G25">
        <f t="shared" si="15"/>
        <v>0</v>
      </c>
      <c r="H25">
        <f t="shared" si="15"/>
        <v>0</v>
      </c>
      <c r="I25">
        <f t="shared" si="15"/>
        <v>0</v>
      </c>
      <c r="J25">
        <f t="shared" si="15"/>
        <v>0</v>
      </c>
      <c r="K25">
        <f t="shared" si="15"/>
        <v>0</v>
      </c>
    </row>
    <row r="26" spans="1:11" x14ac:dyDescent="0.25">
      <c r="A26" t="s">
        <v>225</v>
      </c>
      <c r="B26" s="4" t="s">
        <v>4</v>
      </c>
      <c r="C26" s="4" t="s">
        <v>5</v>
      </c>
      <c r="D26" s="4" t="s">
        <v>8</v>
      </c>
      <c r="I26">
        <f>SUM(E26:H26)</f>
        <v>0</v>
      </c>
    </row>
    <row r="27" spans="1:11" x14ac:dyDescent="0.25">
      <c r="A27" t="s">
        <v>226</v>
      </c>
      <c r="B27" s="4" t="s">
        <v>4</v>
      </c>
      <c r="C27" s="4" t="s">
        <v>5</v>
      </c>
      <c r="D27" s="4" t="s">
        <v>8</v>
      </c>
      <c r="I27">
        <f t="shared" ref="I27:I28" si="16">SUM(E27:H27)</f>
        <v>0</v>
      </c>
    </row>
    <row r="28" spans="1:11" x14ac:dyDescent="0.25">
      <c r="A28" t="s">
        <v>227</v>
      </c>
      <c r="B28" s="4" t="s">
        <v>4</v>
      </c>
      <c r="C28" s="4" t="s">
        <v>5</v>
      </c>
      <c r="D28" s="4" t="s">
        <v>8</v>
      </c>
      <c r="I28">
        <f t="shared" si="16"/>
        <v>0</v>
      </c>
    </row>
    <row r="29" spans="1:11" x14ac:dyDescent="0.25">
      <c r="A29" t="s">
        <v>228</v>
      </c>
      <c r="B29" s="4" t="s">
        <v>4</v>
      </c>
      <c r="C29" s="4" t="s">
        <v>5</v>
      </c>
      <c r="D29" s="4" t="s">
        <v>8</v>
      </c>
      <c r="E29">
        <f t="shared" ref="E29:J29" si="17">SUM(E26:E28)/3</f>
        <v>0</v>
      </c>
      <c r="F29">
        <f t="shared" si="17"/>
        <v>0</v>
      </c>
      <c r="G29">
        <f t="shared" si="17"/>
        <v>0</v>
      </c>
      <c r="H29">
        <f t="shared" si="17"/>
        <v>0</v>
      </c>
      <c r="I29">
        <f t="shared" si="17"/>
        <v>0</v>
      </c>
      <c r="J29">
        <f t="shared" si="17"/>
        <v>0</v>
      </c>
      <c r="K29">
        <f>SUM(K26:K28)/3</f>
        <v>0</v>
      </c>
    </row>
    <row r="30" spans="1:11" x14ac:dyDescent="0.25">
      <c r="A30" t="s">
        <v>229</v>
      </c>
      <c r="B30" s="4" t="s">
        <v>4</v>
      </c>
      <c r="C30" s="4" t="s">
        <v>5</v>
      </c>
      <c r="D30" s="4" t="s">
        <v>8</v>
      </c>
      <c r="E30">
        <f>MAX(E26:E28)</f>
        <v>0</v>
      </c>
      <c r="F30">
        <f t="shared" ref="F30:K30" si="18">MAX(F26:F28)</f>
        <v>0</v>
      </c>
      <c r="G30">
        <f t="shared" si="18"/>
        <v>0</v>
      </c>
      <c r="H30">
        <f t="shared" si="18"/>
        <v>0</v>
      </c>
      <c r="I30">
        <f t="shared" si="18"/>
        <v>0</v>
      </c>
      <c r="J30">
        <f t="shared" si="18"/>
        <v>0</v>
      </c>
      <c r="K30">
        <f t="shared" si="18"/>
        <v>0</v>
      </c>
    </row>
    <row r="31" spans="1:11" x14ac:dyDescent="0.25">
      <c r="A31" t="s">
        <v>230</v>
      </c>
      <c r="B31" s="4" t="s">
        <v>4</v>
      </c>
      <c r="C31" s="4" t="s">
        <v>5</v>
      </c>
      <c r="D31" s="4" t="s">
        <v>8</v>
      </c>
      <c r="E31">
        <f>MIN(E26:E28)</f>
        <v>0</v>
      </c>
      <c r="F31">
        <f t="shared" ref="F31:K31" si="19">MIN(F26:F28)</f>
        <v>0</v>
      </c>
      <c r="G31">
        <f t="shared" si="19"/>
        <v>0</v>
      </c>
      <c r="H31">
        <f t="shared" si="19"/>
        <v>0</v>
      </c>
      <c r="I31">
        <f t="shared" si="19"/>
        <v>0</v>
      </c>
      <c r="J31">
        <f t="shared" si="19"/>
        <v>0</v>
      </c>
      <c r="K31">
        <f t="shared" si="19"/>
        <v>0</v>
      </c>
    </row>
    <row r="32" spans="1:11" x14ac:dyDescent="0.25">
      <c r="A32" t="s">
        <v>249</v>
      </c>
      <c r="B32" s="4" t="s">
        <v>4</v>
      </c>
      <c r="C32" s="4" t="s">
        <v>9</v>
      </c>
      <c r="D32" s="4" t="s">
        <v>12</v>
      </c>
      <c r="I32">
        <f>SUM(E32:H32)</f>
        <v>0</v>
      </c>
    </row>
    <row r="33" spans="1:11" x14ac:dyDescent="0.25">
      <c r="A33" t="s">
        <v>250</v>
      </c>
      <c r="B33" s="4" t="s">
        <v>4</v>
      </c>
      <c r="C33" s="4" t="s">
        <v>9</v>
      </c>
      <c r="D33" s="4" t="s">
        <v>12</v>
      </c>
      <c r="I33">
        <f t="shared" ref="I33:I34" si="20">SUM(E33:H33)</f>
        <v>0</v>
      </c>
    </row>
    <row r="34" spans="1:11" x14ac:dyDescent="0.25">
      <c r="A34" t="s">
        <v>251</v>
      </c>
      <c r="B34" s="4" t="s">
        <v>4</v>
      </c>
      <c r="C34" s="4" t="s">
        <v>9</v>
      </c>
      <c r="D34" s="4" t="s">
        <v>12</v>
      </c>
      <c r="I34">
        <f t="shared" si="20"/>
        <v>0</v>
      </c>
    </row>
    <row r="35" spans="1:11" x14ac:dyDescent="0.25">
      <c r="A35" t="s">
        <v>252</v>
      </c>
      <c r="B35" s="4" t="s">
        <v>4</v>
      </c>
      <c r="C35" s="4" t="s">
        <v>9</v>
      </c>
      <c r="D35" s="4" t="s">
        <v>12</v>
      </c>
      <c r="E35">
        <f t="shared" ref="E35:J35" si="21">SUM(E32:E34)/3</f>
        <v>0</v>
      </c>
      <c r="F35">
        <f t="shared" si="21"/>
        <v>0</v>
      </c>
      <c r="G35">
        <f t="shared" si="21"/>
        <v>0</v>
      </c>
      <c r="H35">
        <f t="shared" si="21"/>
        <v>0</v>
      </c>
      <c r="I35">
        <f t="shared" si="21"/>
        <v>0</v>
      </c>
      <c r="J35">
        <f t="shared" si="21"/>
        <v>0</v>
      </c>
      <c r="K35">
        <f>SUM(K32:K34)/3</f>
        <v>0</v>
      </c>
    </row>
    <row r="36" spans="1:11" x14ac:dyDescent="0.25">
      <c r="A36" t="s">
        <v>253</v>
      </c>
      <c r="B36" s="4" t="s">
        <v>4</v>
      </c>
      <c r="C36" s="4" t="s">
        <v>9</v>
      </c>
      <c r="D36" s="4" t="s">
        <v>12</v>
      </c>
      <c r="E36">
        <f>MAX(E32:E34)</f>
        <v>0</v>
      </c>
      <c r="F36">
        <f t="shared" ref="F36:K36" si="22">MAX(F32:F34)</f>
        <v>0</v>
      </c>
      <c r="G36">
        <f t="shared" si="22"/>
        <v>0</v>
      </c>
      <c r="H36">
        <f t="shared" si="22"/>
        <v>0</v>
      </c>
      <c r="I36">
        <f t="shared" si="22"/>
        <v>0</v>
      </c>
      <c r="J36">
        <f t="shared" si="22"/>
        <v>0</v>
      </c>
      <c r="K36">
        <f t="shared" si="22"/>
        <v>0</v>
      </c>
    </row>
    <row r="37" spans="1:11" x14ac:dyDescent="0.25">
      <c r="A37" t="s">
        <v>254</v>
      </c>
      <c r="B37" s="4" t="s">
        <v>4</v>
      </c>
      <c r="C37" s="4" t="s">
        <v>9</v>
      </c>
      <c r="D37" s="4" t="s">
        <v>12</v>
      </c>
      <c r="E37">
        <f>MIN(E32:E34)</f>
        <v>0</v>
      </c>
      <c r="F37">
        <f t="shared" ref="F37:K37" si="23">MIN(F32:F34)</f>
        <v>0</v>
      </c>
      <c r="G37">
        <f t="shared" si="23"/>
        <v>0</v>
      </c>
      <c r="H37">
        <f t="shared" si="23"/>
        <v>0</v>
      </c>
      <c r="I37">
        <f t="shared" si="23"/>
        <v>0</v>
      </c>
      <c r="J37">
        <f t="shared" si="23"/>
        <v>0</v>
      </c>
      <c r="K37">
        <f t="shared" si="23"/>
        <v>0</v>
      </c>
    </row>
    <row r="38" spans="1:11" x14ac:dyDescent="0.25">
      <c r="A38" t="s">
        <v>231</v>
      </c>
      <c r="B38" s="4" t="s">
        <v>4</v>
      </c>
      <c r="C38" s="4" t="s">
        <v>5</v>
      </c>
      <c r="D38" s="4" t="s">
        <v>14</v>
      </c>
      <c r="I38">
        <f>SUM(E38:H38)</f>
        <v>0</v>
      </c>
    </row>
    <row r="39" spans="1:11" x14ac:dyDescent="0.25">
      <c r="A39" t="s">
        <v>232</v>
      </c>
      <c r="B39" s="4" t="s">
        <v>4</v>
      </c>
      <c r="C39" s="4" t="s">
        <v>5</v>
      </c>
      <c r="D39" s="4" t="s">
        <v>14</v>
      </c>
      <c r="I39">
        <f t="shared" ref="I39:I40" si="24">SUM(E39:H39)</f>
        <v>0</v>
      </c>
    </row>
    <row r="40" spans="1:11" x14ac:dyDescent="0.25">
      <c r="A40" t="s">
        <v>233</v>
      </c>
      <c r="B40" s="4" t="s">
        <v>4</v>
      </c>
      <c r="C40" s="4" t="s">
        <v>5</v>
      </c>
      <c r="D40" s="4" t="s">
        <v>14</v>
      </c>
      <c r="I40">
        <f t="shared" si="24"/>
        <v>0</v>
      </c>
    </row>
    <row r="41" spans="1:11" x14ac:dyDescent="0.25">
      <c r="A41" t="s">
        <v>234</v>
      </c>
      <c r="B41" s="4" t="s">
        <v>4</v>
      </c>
      <c r="C41" s="4" t="s">
        <v>5</v>
      </c>
      <c r="D41" s="4" t="s">
        <v>14</v>
      </c>
      <c r="E41">
        <f t="shared" ref="E41:J41" si="25">SUM(E38:E40)/3</f>
        <v>0</v>
      </c>
      <c r="F41">
        <f t="shared" si="25"/>
        <v>0</v>
      </c>
      <c r="G41">
        <f t="shared" si="25"/>
        <v>0</v>
      </c>
      <c r="H41">
        <f t="shared" si="25"/>
        <v>0</v>
      </c>
      <c r="I41">
        <f t="shared" si="25"/>
        <v>0</v>
      </c>
      <c r="J41">
        <f t="shared" si="25"/>
        <v>0</v>
      </c>
      <c r="K41">
        <f>SUM(K38:K40)/3</f>
        <v>0</v>
      </c>
    </row>
    <row r="42" spans="1:11" x14ac:dyDescent="0.25">
      <c r="A42" t="s">
        <v>235</v>
      </c>
      <c r="B42" s="4" t="s">
        <v>4</v>
      </c>
      <c r="C42" s="4" t="s">
        <v>5</v>
      </c>
      <c r="D42" s="4" t="s">
        <v>14</v>
      </c>
      <c r="E42">
        <f>MAX(E38:E40)</f>
        <v>0</v>
      </c>
      <c r="F42">
        <f t="shared" ref="F42:K42" si="26">MAX(F38:F40)</f>
        <v>0</v>
      </c>
      <c r="G42">
        <f t="shared" si="26"/>
        <v>0</v>
      </c>
      <c r="H42">
        <f t="shared" si="26"/>
        <v>0</v>
      </c>
      <c r="I42">
        <f t="shared" si="26"/>
        <v>0</v>
      </c>
      <c r="J42">
        <f t="shared" si="26"/>
        <v>0</v>
      </c>
      <c r="K42">
        <f t="shared" si="26"/>
        <v>0</v>
      </c>
    </row>
    <row r="43" spans="1:11" x14ac:dyDescent="0.25">
      <c r="A43" t="s">
        <v>236</v>
      </c>
      <c r="B43" s="4" t="s">
        <v>4</v>
      </c>
      <c r="C43" s="4" t="s">
        <v>5</v>
      </c>
      <c r="D43" s="4" t="s">
        <v>14</v>
      </c>
      <c r="E43">
        <f>MIN(E38:E40)</f>
        <v>0</v>
      </c>
      <c r="F43">
        <f t="shared" ref="F43:K43" si="27">MIN(F38:F40)</f>
        <v>0</v>
      </c>
      <c r="G43">
        <f t="shared" si="27"/>
        <v>0</v>
      </c>
      <c r="H43">
        <f t="shared" si="27"/>
        <v>0</v>
      </c>
      <c r="I43">
        <f t="shared" si="27"/>
        <v>0</v>
      </c>
      <c r="J43">
        <f t="shared" si="27"/>
        <v>0</v>
      </c>
      <c r="K43">
        <f t="shared" si="27"/>
        <v>0</v>
      </c>
    </row>
    <row r="44" spans="1:11" x14ac:dyDescent="0.25">
      <c r="A44" t="s">
        <v>255</v>
      </c>
      <c r="B44" s="4" t="s">
        <v>4</v>
      </c>
      <c r="C44" s="4" t="s">
        <v>9</v>
      </c>
      <c r="D44" s="4" t="s">
        <v>15</v>
      </c>
      <c r="I44">
        <f>SUM(E44:H44)</f>
        <v>0</v>
      </c>
    </row>
    <row r="45" spans="1:11" x14ac:dyDescent="0.25">
      <c r="A45" t="s">
        <v>256</v>
      </c>
      <c r="B45" s="4" t="s">
        <v>4</v>
      </c>
      <c r="C45" s="4" t="s">
        <v>9</v>
      </c>
      <c r="D45" s="4" t="s">
        <v>15</v>
      </c>
      <c r="I45">
        <f t="shared" ref="I45:I46" si="28">SUM(E45:H45)</f>
        <v>0</v>
      </c>
    </row>
    <row r="46" spans="1:11" x14ac:dyDescent="0.25">
      <c r="A46" t="s">
        <v>257</v>
      </c>
      <c r="B46" s="4" t="s">
        <v>4</v>
      </c>
      <c r="C46" s="4" t="s">
        <v>9</v>
      </c>
      <c r="D46" s="4" t="s">
        <v>15</v>
      </c>
      <c r="I46">
        <f t="shared" si="28"/>
        <v>0</v>
      </c>
    </row>
    <row r="47" spans="1:11" x14ac:dyDescent="0.25">
      <c r="A47" t="s">
        <v>258</v>
      </c>
      <c r="B47" s="4" t="s">
        <v>4</v>
      </c>
      <c r="C47" s="4" t="s">
        <v>9</v>
      </c>
      <c r="D47" s="4" t="s">
        <v>15</v>
      </c>
      <c r="E47">
        <f t="shared" ref="E47:J47" si="29">SUM(E44:E46)/3</f>
        <v>0</v>
      </c>
      <c r="F47">
        <f t="shared" si="29"/>
        <v>0</v>
      </c>
      <c r="G47">
        <f t="shared" si="29"/>
        <v>0</v>
      </c>
      <c r="H47">
        <f t="shared" si="29"/>
        <v>0</v>
      </c>
      <c r="I47">
        <f t="shared" si="29"/>
        <v>0</v>
      </c>
      <c r="J47">
        <f t="shared" si="29"/>
        <v>0</v>
      </c>
      <c r="K47">
        <f>SUM(K44:K46)/3</f>
        <v>0</v>
      </c>
    </row>
    <row r="48" spans="1:11" x14ac:dyDescent="0.25">
      <c r="A48" t="s">
        <v>259</v>
      </c>
      <c r="B48" s="4" t="s">
        <v>4</v>
      </c>
      <c r="C48" s="4" t="s">
        <v>9</v>
      </c>
      <c r="D48" s="4" t="s">
        <v>15</v>
      </c>
      <c r="E48">
        <f>MAX(E44:E46)</f>
        <v>0</v>
      </c>
      <c r="F48">
        <f t="shared" ref="F48:K48" si="30">MAX(F44:F46)</f>
        <v>0</v>
      </c>
      <c r="G48">
        <f t="shared" si="30"/>
        <v>0</v>
      </c>
      <c r="H48">
        <f t="shared" si="30"/>
        <v>0</v>
      </c>
      <c r="I48">
        <f t="shared" si="30"/>
        <v>0</v>
      </c>
      <c r="J48">
        <f t="shared" si="30"/>
        <v>0</v>
      </c>
      <c r="K48">
        <f t="shared" si="30"/>
        <v>0</v>
      </c>
    </row>
    <row r="49" spans="1:11" x14ac:dyDescent="0.25">
      <c r="A49" t="s">
        <v>260</v>
      </c>
      <c r="B49" s="4" t="s">
        <v>4</v>
      </c>
      <c r="C49" s="4" t="s">
        <v>9</v>
      </c>
      <c r="D49" s="4" t="s">
        <v>15</v>
      </c>
      <c r="E49">
        <f>MIN(E44:E46)</f>
        <v>0</v>
      </c>
      <c r="F49">
        <f t="shared" ref="F49:K49" si="31">MIN(F44:F46)</f>
        <v>0</v>
      </c>
      <c r="G49">
        <f t="shared" si="31"/>
        <v>0</v>
      </c>
      <c r="H49">
        <f t="shared" si="31"/>
        <v>0</v>
      </c>
      <c r="I49">
        <f t="shared" si="31"/>
        <v>0</v>
      </c>
      <c r="J49">
        <f t="shared" si="31"/>
        <v>0</v>
      </c>
      <c r="K49">
        <f t="shared" si="31"/>
        <v>0</v>
      </c>
    </row>
    <row r="50" spans="1:11" x14ac:dyDescent="0.25">
      <c r="A50" t="s">
        <v>285</v>
      </c>
      <c r="B50" s="4" t="s">
        <v>13</v>
      </c>
      <c r="C50" s="4" t="s">
        <v>5</v>
      </c>
      <c r="D50" s="4" t="s">
        <v>6</v>
      </c>
      <c r="I50">
        <f>SUM(E50:H50)</f>
        <v>0</v>
      </c>
    </row>
    <row r="51" spans="1:11" x14ac:dyDescent="0.25">
      <c r="A51" t="s">
        <v>286</v>
      </c>
      <c r="B51" s="4" t="s">
        <v>13</v>
      </c>
      <c r="C51" s="4" t="s">
        <v>5</v>
      </c>
      <c r="D51" s="4" t="s">
        <v>6</v>
      </c>
      <c r="I51">
        <f t="shared" ref="I51:I52" si="32">SUM(E51:H51)</f>
        <v>0</v>
      </c>
    </row>
    <row r="52" spans="1:11" x14ac:dyDescent="0.25">
      <c r="A52" t="s">
        <v>287</v>
      </c>
      <c r="B52" s="4" t="s">
        <v>13</v>
      </c>
      <c r="C52" s="4" t="s">
        <v>5</v>
      </c>
      <c r="D52" s="4" t="s">
        <v>6</v>
      </c>
      <c r="I52">
        <f t="shared" si="32"/>
        <v>0</v>
      </c>
    </row>
    <row r="53" spans="1:11" x14ac:dyDescent="0.25">
      <c r="A53" t="s">
        <v>288</v>
      </c>
      <c r="B53" s="4" t="s">
        <v>13</v>
      </c>
      <c r="C53" s="4" t="s">
        <v>5</v>
      </c>
      <c r="D53" s="4" t="s">
        <v>6</v>
      </c>
      <c r="E53">
        <f t="shared" ref="E53:J53" si="33">SUM(E50:E52)/3</f>
        <v>0</v>
      </c>
      <c r="F53">
        <f t="shared" si="33"/>
        <v>0</v>
      </c>
      <c r="G53">
        <f t="shared" si="33"/>
        <v>0</v>
      </c>
      <c r="H53">
        <f t="shared" si="33"/>
        <v>0</v>
      </c>
      <c r="I53">
        <f t="shared" si="33"/>
        <v>0</v>
      </c>
      <c r="J53">
        <f t="shared" si="33"/>
        <v>0</v>
      </c>
      <c r="K53">
        <f>SUM(K50:K52)/3</f>
        <v>0</v>
      </c>
    </row>
    <row r="54" spans="1:11" x14ac:dyDescent="0.25">
      <c r="A54" t="s">
        <v>289</v>
      </c>
      <c r="B54" s="4" t="s">
        <v>13</v>
      </c>
      <c r="C54" s="4" t="s">
        <v>5</v>
      </c>
      <c r="D54" s="4" t="s">
        <v>6</v>
      </c>
      <c r="E54">
        <f>MAX(E50:E52)</f>
        <v>0</v>
      </c>
      <c r="F54">
        <f t="shared" ref="F54:K54" si="34">MAX(F50:F52)</f>
        <v>0</v>
      </c>
      <c r="G54">
        <f t="shared" si="34"/>
        <v>0</v>
      </c>
      <c r="H54">
        <f t="shared" si="34"/>
        <v>0</v>
      </c>
      <c r="I54">
        <f t="shared" si="34"/>
        <v>0</v>
      </c>
      <c r="J54">
        <f t="shared" si="34"/>
        <v>0</v>
      </c>
      <c r="K54">
        <f t="shared" si="34"/>
        <v>0</v>
      </c>
    </row>
    <row r="55" spans="1:11" x14ac:dyDescent="0.25">
      <c r="A55" t="s">
        <v>290</v>
      </c>
      <c r="B55" s="4" t="s">
        <v>13</v>
      </c>
      <c r="C55" s="4" t="s">
        <v>5</v>
      </c>
      <c r="D55" s="4" t="s">
        <v>6</v>
      </c>
      <c r="E55">
        <f>MIN(E50:E52)</f>
        <v>0</v>
      </c>
      <c r="F55">
        <f t="shared" ref="F55:K55" si="35">MIN(F50:F52)</f>
        <v>0</v>
      </c>
      <c r="G55">
        <f t="shared" si="35"/>
        <v>0</v>
      </c>
      <c r="H55">
        <f t="shared" si="35"/>
        <v>0</v>
      </c>
      <c r="I55">
        <f t="shared" si="35"/>
        <v>0</v>
      </c>
      <c r="J55">
        <f t="shared" si="35"/>
        <v>0</v>
      </c>
      <c r="K55">
        <f t="shared" si="35"/>
        <v>0</v>
      </c>
    </row>
    <row r="56" spans="1:11" x14ac:dyDescent="0.25">
      <c r="A56" t="s">
        <v>261</v>
      </c>
      <c r="B56" s="4" t="s">
        <v>13</v>
      </c>
      <c r="C56" s="4" t="s">
        <v>9</v>
      </c>
      <c r="D56" s="4" t="s">
        <v>10</v>
      </c>
      <c r="I56">
        <f>SUM(E56:H56)</f>
        <v>0</v>
      </c>
    </row>
    <row r="57" spans="1:11" x14ac:dyDescent="0.25">
      <c r="A57" t="s">
        <v>262</v>
      </c>
      <c r="B57" s="4" t="s">
        <v>13</v>
      </c>
      <c r="C57" s="4" t="s">
        <v>9</v>
      </c>
      <c r="D57" s="4" t="s">
        <v>10</v>
      </c>
      <c r="I57">
        <f t="shared" ref="I57:I58" si="36">SUM(E57:H57)</f>
        <v>0</v>
      </c>
    </row>
    <row r="58" spans="1:11" x14ac:dyDescent="0.25">
      <c r="A58" t="s">
        <v>263</v>
      </c>
      <c r="B58" s="4" t="s">
        <v>13</v>
      </c>
      <c r="C58" s="4" t="s">
        <v>9</v>
      </c>
      <c r="D58" s="4" t="s">
        <v>10</v>
      </c>
      <c r="I58">
        <f t="shared" si="36"/>
        <v>0</v>
      </c>
    </row>
    <row r="59" spans="1:11" x14ac:dyDescent="0.25">
      <c r="A59" t="s">
        <v>264</v>
      </c>
      <c r="B59" s="4" t="s">
        <v>13</v>
      </c>
      <c r="C59" s="4" t="s">
        <v>9</v>
      </c>
      <c r="D59" s="4" t="s">
        <v>10</v>
      </c>
      <c r="E59">
        <f t="shared" ref="E59:J59" si="37">SUM(E56:E58)/3</f>
        <v>0</v>
      </c>
      <c r="F59">
        <f t="shared" si="37"/>
        <v>0</v>
      </c>
      <c r="G59">
        <f t="shared" si="37"/>
        <v>0</v>
      </c>
      <c r="H59">
        <f t="shared" si="37"/>
        <v>0</v>
      </c>
      <c r="I59">
        <f t="shared" si="37"/>
        <v>0</v>
      </c>
      <c r="J59">
        <f t="shared" si="37"/>
        <v>0</v>
      </c>
      <c r="K59">
        <f>SUM(K56:K58)/3</f>
        <v>0</v>
      </c>
    </row>
    <row r="60" spans="1:11" x14ac:dyDescent="0.25">
      <c r="A60" t="s">
        <v>265</v>
      </c>
      <c r="B60" s="4" t="s">
        <v>13</v>
      </c>
      <c r="C60" s="4" t="s">
        <v>9</v>
      </c>
      <c r="D60" s="4" t="s">
        <v>10</v>
      </c>
      <c r="E60">
        <f>MAX(E56:E58)</f>
        <v>0</v>
      </c>
      <c r="F60">
        <f t="shared" ref="F60:K60" si="38">MAX(F56:F58)</f>
        <v>0</v>
      </c>
      <c r="G60">
        <f t="shared" si="38"/>
        <v>0</v>
      </c>
      <c r="H60">
        <f t="shared" si="38"/>
        <v>0</v>
      </c>
      <c r="I60">
        <f t="shared" si="38"/>
        <v>0</v>
      </c>
      <c r="J60">
        <f t="shared" si="38"/>
        <v>0</v>
      </c>
      <c r="K60">
        <f t="shared" si="38"/>
        <v>0</v>
      </c>
    </row>
    <row r="61" spans="1:11" x14ac:dyDescent="0.25">
      <c r="A61" t="s">
        <v>266</v>
      </c>
      <c r="B61" s="4" t="s">
        <v>13</v>
      </c>
      <c r="C61" s="4" t="s">
        <v>9</v>
      </c>
      <c r="D61" s="4" t="s">
        <v>10</v>
      </c>
      <c r="E61">
        <f>MIN(E56:E58)</f>
        <v>0</v>
      </c>
      <c r="F61">
        <f t="shared" ref="F61:K61" si="39">MIN(F56:F58)</f>
        <v>0</v>
      </c>
      <c r="G61">
        <f t="shared" si="39"/>
        <v>0</v>
      </c>
      <c r="H61">
        <f t="shared" si="39"/>
        <v>0</v>
      </c>
      <c r="I61">
        <f t="shared" si="39"/>
        <v>0</v>
      </c>
      <c r="J61">
        <f t="shared" si="39"/>
        <v>0</v>
      </c>
      <c r="K61">
        <f t="shared" si="39"/>
        <v>0</v>
      </c>
    </row>
    <row r="62" spans="1:11" x14ac:dyDescent="0.25">
      <c r="A62" t="s">
        <v>291</v>
      </c>
      <c r="B62" s="4" t="s">
        <v>13</v>
      </c>
      <c r="C62" s="4" t="s">
        <v>5</v>
      </c>
      <c r="D62" s="4" t="s">
        <v>7</v>
      </c>
      <c r="I62">
        <f>SUM(E62:H62)</f>
        <v>0</v>
      </c>
    </row>
    <row r="63" spans="1:11" x14ac:dyDescent="0.25">
      <c r="A63" t="s">
        <v>292</v>
      </c>
      <c r="B63" s="4" t="s">
        <v>13</v>
      </c>
      <c r="C63" s="4" t="s">
        <v>5</v>
      </c>
      <c r="D63" s="4" t="s">
        <v>7</v>
      </c>
      <c r="I63">
        <f t="shared" ref="I63:I64" si="40">SUM(E63:H63)</f>
        <v>0</v>
      </c>
    </row>
    <row r="64" spans="1:11" x14ac:dyDescent="0.25">
      <c r="A64" t="s">
        <v>293</v>
      </c>
      <c r="B64" s="4" t="s">
        <v>13</v>
      </c>
      <c r="C64" s="4" t="s">
        <v>5</v>
      </c>
      <c r="D64" s="4" t="s">
        <v>7</v>
      </c>
      <c r="I64">
        <f t="shared" si="40"/>
        <v>0</v>
      </c>
    </row>
    <row r="65" spans="1:11" x14ac:dyDescent="0.25">
      <c r="A65" t="s">
        <v>294</v>
      </c>
      <c r="B65" s="4" t="s">
        <v>13</v>
      </c>
      <c r="C65" s="4" t="s">
        <v>5</v>
      </c>
      <c r="D65" s="4" t="s">
        <v>7</v>
      </c>
      <c r="E65">
        <f t="shared" ref="E65:J65" si="41">SUM(E62:E64)/3</f>
        <v>0</v>
      </c>
      <c r="F65">
        <f t="shared" si="41"/>
        <v>0</v>
      </c>
      <c r="G65">
        <f t="shared" si="41"/>
        <v>0</v>
      </c>
      <c r="H65">
        <f t="shared" si="41"/>
        <v>0</v>
      </c>
      <c r="I65">
        <f t="shared" si="41"/>
        <v>0</v>
      </c>
      <c r="J65">
        <f t="shared" si="41"/>
        <v>0</v>
      </c>
      <c r="K65">
        <f>SUM(K62:K64)/3</f>
        <v>0</v>
      </c>
    </row>
    <row r="66" spans="1:11" x14ac:dyDescent="0.25">
      <c r="A66" t="s">
        <v>295</v>
      </c>
      <c r="B66" s="4" t="s">
        <v>13</v>
      </c>
      <c r="C66" s="4" t="s">
        <v>5</v>
      </c>
      <c r="D66" s="4" t="s">
        <v>7</v>
      </c>
      <c r="E66">
        <f>MAX(E62:E64)</f>
        <v>0</v>
      </c>
      <c r="F66">
        <f t="shared" ref="F66:K66" si="42">MAX(F62:F64)</f>
        <v>0</v>
      </c>
      <c r="G66">
        <f t="shared" si="42"/>
        <v>0</v>
      </c>
      <c r="H66">
        <f t="shared" si="42"/>
        <v>0</v>
      </c>
      <c r="I66">
        <f t="shared" si="42"/>
        <v>0</v>
      </c>
      <c r="J66">
        <f t="shared" si="42"/>
        <v>0</v>
      </c>
      <c r="K66">
        <f t="shared" si="42"/>
        <v>0</v>
      </c>
    </row>
    <row r="67" spans="1:11" x14ac:dyDescent="0.25">
      <c r="A67" t="s">
        <v>296</v>
      </c>
      <c r="B67" s="4" t="s">
        <v>13</v>
      </c>
      <c r="C67" s="4" t="s">
        <v>5</v>
      </c>
      <c r="D67" s="4" t="s">
        <v>7</v>
      </c>
      <c r="E67">
        <f>MIN(E62:E64)</f>
        <v>0</v>
      </c>
      <c r="F67">
        <f t="shared" ref="F67:K67" si="43">MIN(F62:F64)</f>
        <v>0</v>
      </c>
      <c r="G67">
        <f t="shared" si="43"/>
        <v>0</v>
      </c>
      <c r="H67">
        <f t="shared" si="43"/>
        <v>0</v>
      </c>
      <c r="I67">
        <f t="shared" si="43"/>
        <v>0</v>
      </c>
      <c r="J67">
        <f t="shared" si="43"/>
        <v>0</v>
      </c>
      <c r="K67">
        <f t="shared" si="43"/>
        <v>0</v>
      </c>
    </row>
    <row r="68" spans="1:11" x14ac:dyDescent="0.25">
      <c r="A68" t="s">
        <v>267</v>
      </c>
      <c r="B68" s="4" t="s">
        <v>13</v>
      </c>
      <c r="C68" s="4" t="s">
        <v>9</v>
      </c>
      <c r="D68" s="4" t="s">
        <v>11</v>
      </c>
      <c r="I68">
        <f>SUM(E68:H68)</f>
        <v>0</v>
      </c>
    </row>
    <row r="69" spans="1:11" x14ac:dyDescent="0.25">
      <c r="A69" t="s">
        <v>268</v>
      </c>
      <c r="B69" s="4" t="s">
        <v>13</v>
      </c>
      <c r="C69" s="4" t="s">
        <v>9</v>
      </c>
      <c r="D69" s="4" t="s">
        <v>11</v>
      </c>
      <c r="I69">
        <f t="shared" ref="I69:I70" si="44">SUM(E69:H69)</f>
        <v>0</v>
      </c>
    </row>
    <row r="70" spans="1:11" x14ac:dyDescent="0.25">
      <c r="A70" t="s">
        <v>269</v>
      </c>
      <c r="B70" s="4" t="s">
        <v>13</v>
      </c>
      <c r="C70" s="4" t="s">
        <v>9</v>
      </c>
      <c r="D70" s="4" t="s">
        <v>11</v>
      </c>
      <c r="I70">
        <f t="shared" si="44"/>
        <v>0</v>
      </c>
    </row>
    <row r="71" spans="1:11" x14ac:dyDescent="0.25">
      <c r="A71" t="s">
        <v>270</v>
      </c>
      <c r="B71" s="4" t="s">
        <v>13</v>
      </c>
      <c r="C71" s="4" t="s">
        <v>9</v>
      </c>
      <c r="D71" s="4" t="s">
        <v>11</v>
      </c>
      <c r="E71">
        <f t="shared" ref="E71:J71" si="45">SUM(E68:E70)/3</f>
        <v>0</v>
      </c>
      <c r="F71">
        <f t="shared" si="45"/>
        <v>0</v>
      </c>
      <c r="G71">
        <f t="shared" si="45"/>
        <v>0</v>
      </c>
      <c r="H71">
        <f t="shared" si="45"/>
        <v>0</v>
      </c>
      <c r="I71">
        <f t="shared" si="45"/>
        <v>0</v>
      </c>
      <c r="J71">
        <f t="shared" si="45"/>
        <v>0</v>
      </c>
      <c r="K71">
        <f>SUM(K68:K70)/3</f>
        <v>0</v>
      </c>
    </row>
    <row r="72" spans="1:11" x14ac:dyDescent="0.25">
      <c r="A72" t="s">
        <v>271</v>
      </c>
      <c r="B72" s="4" t="s">
        <v>13</v>
      </c>
      <c r="C72" s="4" t="s">
        <v>9</v>
      </c>
      <c r="D72" s="4" t="s">
        <v>11</v>
      </c>
      <c r="E72">
        <f>MAX(E68:E70)</f>
        <v>0</v>
      </c>
      <c r="F72">
        <f t="shared" ref="F72:K72" si="46">MAX(F68:F70)</f>
        <v>0</v>
      </c>
      <c r="G72">
        <f t="shared" si="46"/>
        <v>0</v>
      </c>
      <c r="H72">
        <f t="shared" si="46"/>
        <v>0</v>
      </c>
      <c r="I72">
        <f t="shared" si="46"/>
        <v>0</v>
      </c>
      <c r="J72">
        <f t="shared" si="46"/>
        <v>0</v>
      </c>
      <c r="K72">
        <f t="shared" si="46"/>
        <v>0</v>
      </c>
    </row>
    <row r="73" spans="1:11" x14ac:dyDescent="0.25">
      <c r="A73" t="s">
        <v>272</v>
      </c>
      <c r="B73" s="4" t="s">
        <v>13</v>
      </c>
      <c r="C73" s="4" t="s">
        <v>9</v>
      </c>
      <c r="D73" s="4" t="s">
        <v>11</v>
      </c>
      <c r="E73">
        <f>MIN(E68:E70)</f>
        <v>0</v>
      </c>
      <c r="F73">
        <f t="shared" ref="F73:K73" si="47">MIN(F68:F70)</f>
        <v>0</v>
      </c>
      <c r="G73">
        <f t="shared" si="47"/>
        <v>0</v>
      </c>
      <c r="H73">
        <f t="shared" si="47"/>
        <v>0</v>
      </c>
      <c r="I73">
        <f t="shared" si="47"/>
        <v>0</v>
      </c>
      <c r="J73">
        <f t="shared" si="47"/>
        <v>0</v>
      </c>
      <c r="K73">
        <f t="shared" si="47"/>
        <v>0</v>
      </c>
    </row>
    <row r="74" spans="1:11" x14ac:dyDescent="0.25">
      <c r="A74" t="s">
        <v>297</v>
      </c>
      <c r="B74" s="4" t="s">
        <v>13</v>
      </c>
      <c r="C74" s="4" t="s">
        <v>5</v>
      </c>
      <c r="D74" s="4" t="s">
        <v>8</v>
      </c>
      <c r="I74">
        <f>SUM(E74:H74)</f>
        <v>0</v>
      </c>
    </row>
    <row r="75" spans="1:11" x14ac:dyDescent="0.25">
      <c r="A75" t="s">
        <v>298</v>
      </c>
      <c r="B75" s="4" t="s">
        <v>13</v>
      </c>
      <c r="C75" s="4" t="s">
        <v>5</v>
      </c>
      <c r="D75" s="4" t="s">
        <v>8</v>
      </c>
      <c r="I75">
        <f t="shared" ref="I75:I76" si="48">SUM(E75:H75)</f>
        <v>0</v>
      </c>
    </row>
    <row r="76" spans="1:11" x14ac:dyDescent="0.25">
      <c r="A76" t="s">
        <v>299</v>
      </c>
      <c r="B76" s="4" t="s">
        <v>13</v>
      </c>
      <c r="C76" s="4" t="s">
        <v>5</v>
      </c>
      <c r="D76" s="4" t="s">
        <v>8</v>
      </c>
      <c r="I76">
        <f t="shared" si="48"/>
        <v>0</v>
      </c>
    </row>
    <row r="77" spans="1:11" x14ac:dyDescent="0.25">
      <c r="A77" t="s">
        <v>300</v>
      </c>
      <c r="B77" s="4" t="s">
        <v>13</v>
      </c>
      <c r="C77" s="4" t="s">
        <v>5</v>
      </c>
      <c r="D77" s="4" t="s">
        <v>8</v>
      </c>
      <c r="E77">
        <f t="shared" ref="E77:J77" si="49">SUM(E74:E76)/3</f>
        <v>0</v>
      </c>
      <c r="F77">
        <f t="shared" si="49"/>
        <v>0</v>
      </c>
      <c r="G77">
        <f t="shared" si="49"/>
        <v>0</v>
      </c>
      <c r="H77">
        <f t="shared" si="49"/>
        <v>0</v>
      </c>
      <c r="I77">
        <f t="shared" si="49"/>
        <v>0</v>
      </c>
      <c r="J77">
        <f t="shared" si="49"/>
        <v>0</v>
      </c>
      <c r="K77">
        <f>SUM(K74:K76)/3</f>
        <v>0</v>
      </c>
    </row>
    <row r="78" spans="1:11" x14ac:dyDescent="0.25">
      <c r="A78" t="s">
        <v>301</v>
      </c>
      <c r="B78" s="4" t="s">
        <v>13</v>
      </c>
      <c r="C78" s="4" t="s">
        <v>5</v>
      </c>
      <c r="D78" s="4" t="s">
        <v>8</v>
      </c>
      <c r="E78">
        <f>MAX(E74:E76)</f>
        <v>0</v>
      </c>
      <c r="F78">
        <f t="shared" ref="F78:K78" si="50">MAX(F74:F76)</f>
        <v>0</v>
      </c>
      <c r="G78">
        <f t="shared" si="50"/>
        <v>0</v>
      </c>
      <c r="H78">
        <f t="shared" si="50"/>
        <v>0</v>
      </c>
      <c r="I78">
        <f t="shared" si="50"/>
        <v>0</v>
      </c>
      <c r="J78">
        <f t="shared" si="50"/>
        <v>0</v>
      </c>
      <c r="K78">
        <f t="shared" si="50"/>
        <v>0</v>
      </c>
    </row>
    <row r="79" spans="1:11" x14ac:dyDescent="0.25">
      <c r="A79" t="s">
        <v>302</v>
      </c>
      <c r="B79" s="4" t="s">
        <v>13</v>
      </c>
      <c r="C79" s="4" t="s">
        <v>5</v>
      </c>
      <c r="D79" s="4" t="s">
        <v>8</v>
      </c>
      <c r="E79">
        <f>MIN(E74:E76)</f>
        <v>0</v>
      </c>
      <c r="F79">
        <f t="shared" ref="F79:K79" si="51">MIN(F74:F76)</f>
        <v>0</v>
      </c>
      <c r="G79">
        <f t="shared" si="51"/>
        <v>0</v>
      </c>
      <c r="H79">
        <f t="shared" si="51"/>
        <v>0</v>
      </c>
      <c r="I79">
        <f t="shared" si="51"/>
        <v>0</v>
      </c>
      <c r="J79">
        <f t="shared" si="51"/>
        <v>0</v>
      </c>
      <c r="K79">
        <f t="shared" si="51"/>
        <v>0</v>
      </c>
    </row>
    <row r="80" spans="1:11" x14ac:dyDescent="0.25">
      <c r="A80" t="s">
        <v>273</v>
      </c>
      <c r="B80" s="4" t="s">
        <v>13</v>
      </c>
      <c r="C80" s="4" t="s">
        <v>9</v>
      </c>
      <c r="D80" s="4" t="s">
        <v>12</v>
      </c>
      <c r="I80">
        <f>SUM(E80:H80)</f>
        <v>0</v>
      </c>
    </row>
    <row r="81" spans="1:11" x14ac:dyDescent="0.25">
      <c r="A81" t="s">
        <v>274</v>
      </c>
      <c r="B81" s="4" t="s">
        <v>13</v>
      </c>
      <c r="C81" s="4" t="s">
        <v>9</v>
      </c>
      <c r="D81" s="4" t="s">
        <v>12</v>
      </c>
      <c r="I81">
        <f t="shared" ref="I81:I82" si="52">SUM(E81:H81)</f>
        <v>0</v>
      </c>
    </row>
    <row r="82" spans="1:11" x14ac:dyDescent="0.25">
      <c r="A82" t="s">
        <v>275</v>
      </c>
      <c r="B82" s="4" t="s">
        <v>13</v>
      </c>
      <c r="C82" s="4" t="s">
        <v>9</v>
      </c>
      <c r="D82" s="4" t="s">
        <v>12</v>
      </c>
      <c r="I82">
        <f t="shared" si="52"/>
        <v>0</v>
      </c>
    </row>
    <row r="83" spans="1:11" x14ac:dyDescent="0.25">
      <c r="A83" t="s">
        <v>276</v>
      </c>
      <c r="B83" s="4" t="s">
        <v>13</v>
      </c>
      <c r="C83" s="4" t="s">
        <v>9</v>
      </c>
      <c r="D83" s="4" t="s">
        <v>12</v>
      </c>
      <c r="E83">
        <f t="shared" ref="E83:J83" si="53">SUM(E80:E82)/3</f>
        <v>0</v>
      </c>
      <c r="F83">
        <f t="shared" si="53"/>
        <v>0</v>
      </c>
      <c r="G83">
        <f t="shared" si="53"/>
        <v>0</v>
      </c>
      <c r="H83">
        <f t="shared" si="53"/>
        <v>0</v>
      </c>
      <c r="I83">
        <f t="shared" si="53"/>
        <v>0</v>
      </c>
      <c r="J83">
        <f t="shared" si="53"/>
        <v>0</v>
      </c>
      <c r="K83">
        <f>SUM(K80:K82)/3</f>
        <v>0</v>
      </c>
    </row>
    <row r="84" spans="1:11" x14ac:dyDescent="0.25">
      <c r="A84" t="s">
        <v>277</v>
      </c>
      <c r="B84" s="4" t="s">
        <v>13</v>
      </c>
      <c r="C84" s="4" t="s">
        <v>9</v>
      </c>
      <c r="D84" s="4" t="s">
        <v>12</v>
      </c>
      <c r="E84">
        <f>MAX(E80:E82)</f>
        <v>0</v>
      </c>
      <c r="F84">
        <f t="shared" ref="F84:K84" si="54">MAX(F80:F82)</f>
        <v>0</v>
      </c>
      <c r="G84">
        <f t="shared" si="54"/>
        <v>0</v>
      </c>
      <c r="H84">
        <f t="shared" si="54"/>
        <v>0</v>
      </c>
      <c r="I84">
        <f t="shared" si="54"/>
        <v>0</v>
      </c>
      <c r="J84">
        <f t="shared" si="54"/>
        <v>0</v>
      </c>
      <c r="K84">
        <f t="shared" si="54"/>
        <v>0</v>
      </c>
    </row>
    <row r="85" spans="1:11" x14ac:dyDescent="0.25">
      <c r="A85" t="s">
        <v>278</v>
      </c>
      <c r="B85" s="4" t="s">
        <v>13</v>
      </c>
      <c r="C85" s="4" t="s">
        <v>9</v>
      </c>
      <c r="D85" s="4" t="s">
        <v>12</v>
      </c>
      <c r="E85">
        <f>MIN(E80:E82)</f>
        <v>0</v>
      </c>
      <c r="F85">
        <f t="shared" ref="F85:K85" si="55">MIN(F80:F82)</f>
        <v>0</v>
      </c>
      <c r="G85">
        <f t="shared" si="55"/>
        <v>0</v>
      </c>
      <c r="H85">
        <f t="shared" si="55"/>
        <v>0</v>
      </c>
      <c r="I85">
        <f t="shared" si="55"/>
        <v>0</v>
      </c>
      <c r="J85">
        <f t="shared" si="55"/>
        <v>0</v>
      </c>
      <c r="K85">
        <f t="shared" si="55"/>
        <v>0</v>
      </c>
    </row>
    <row r="86" spans="1:11" x14ac:dyDescent="0.25">
      <c r="A86" t="s">
        <v>303</v>
      </c>
      <c r="B86" s="4" t="s">
        <v>13</v>
      </c>
      <c r="C86" s="4" t="s">
        <v>5</v>
      </c>
      <c r="D86" s="4" t="s">
        <v>14</v>
      </c>
      <c r="I86">
        <f>SUM(E86:H86)</f>
        <v>0</v>
      </c>
    </row>
    <row r="87" spans="1:11" x14ac:dyDescent="0.25">
      <c r="A87" t="s">
        <v>304</v>
      </c>
      <c r="B87" s="4" t="s">
        <v>13</v>
      </c>
      <c r="C87" s="4" t="s">
        <v>5</v>
      </c>
      <c r="D87" s="4" t="s">
        <v>14</v>
      </c>
      <c r="I87">
        <f t="shared" ref="I87:I88" si="56">SUM(E87:H87)</f>
        <v>0</v>
      </c>
    </row>
    <row r="88" spans="1:11" x14ac:dyDescent="0.25">
      <c r="A88" t="s">
        <v>305</v>
      </c>
      <c r="B88" s="4" t="s">
        <v>13</v>
      </c>
      <c r="C88" s="4" t="s">
        <v>5</v>
      </c>
      <c r="D88" s="4" t="s">
        <v>14</v>
      </c>
      <c r="I88">
        <f t="shared" si="56"/>
        <v>0</v>
      </c>
    </row>
    <row r="89" spans="1:11" x14ac:dyDescent="0.25">
      <c r="A89" t="s">
        <v>306</v>
      </c>
      <c r="B89" s="4" t="s">
        <v>13</v>
      </c>
      <c r="C89" s="4" t="s">
        <v>5</v>
      </c>
      <c r="D89" s="4" t="s">
        <v>14</v>
      </c>
      <c r="E89">
        <f t="shared" ref="E89:J89" si="57">SUM(E86:E88)/3</f>
        <v>0</v>
      </c>
      <c r="F89">
        <f t="shared" si="57"/>
        <v>0</v>
      </c>
      <c r="G89">
        <f t="shared" si="57"/>
        <v>0</v>
      </c>
      <c r="H89">
        <f t="shared" si="57"/>
        <v>0</v>
      </c>
      <c r="I89">
        <f t="shared" si="57"/>
        <v>0</v>
      </c>
      <c r="J89">
        <f t="shared" si="57"/>
        <v>0</v>
      </c>
      <c r="K89">
        <f>SUM(K86:K88)/3</f>
        <v>0</v>
      </c>
    </row>
    <row r="90" spans="1:11" x14ac:dyDescent="0.25">
      <c r="A90" t="s">
        <v>307</v>
      </c>
      <c r="B90" s="4" t="s">
        <v>13</v>
      </c>
      <c r="C90" s="4" t="s">
        <v>5</v>
      </c>
      <c r="D90" s="4" t="s">
        <v>14</v>
      </c>
      <c r="E90">
        <f>MAX(E86:E88)</f>
        <v>0</v>
      </c>
      <c r="F90">
        <f t="shared" ref="F90:K90" si="58">MAX(F86:F88)</f>
        <v>0</v>
      </c>
      <c r="G90">
        <f t="shared" si="58"/>
        <v>0</v>
      </c>
      <c r="H90">
        <f t="shared" si="58"/>
        <v>0</v>
      </c>
      <c r="I90">
        <f t="shared" si="58"/>
        <v>0</v>
      </c>
      <c r="J90">
        <f t="shared" si="58"/>
        <v>0</v>
      </c>
      <c r="K90">
        <f t="shared" si="58"/>
        <v>0</v>
      </c>
    </row>
    <row r="91" spans="1:11" x14ac:dyDescent="0.25">
      <c r="A91" t="s">
        <v>308</v>
      </c>
      <c r="B91" s="4" t="s">
        <v>13</v>
      </c>
      <c r="C91" s="4" t="s">
        <v>5</v>
      </c>
      <c r="D91" s="4" t="s">
        <v>14</v>
      </c>
      <c r="E91">
        <f>MIN(E86:E88)</f>
        <v>0</v>
      </c>
      <c r="F91">
        <f t="shared" ref="F91:K91" si="59">MIN(F86:F88)</f>
        <v>0</v>
      </c>
      <c r="G91">
        <f t="shared" si="59"/>
        <v>0</v>
      </c>
      <c r="H91">
        <f t="shared" si="59"/>
        <v>0</v>
      </c>
      <c r="I91">
        <f t="shared" si="59"/>
        <v>0</v>
      </c>
      <c r="J91">
        <f t="shared" si="59"/>
        <v>0</v>
      </c>
      <c r="K91">
        <f t="shared" si="59"/>
        <v>0</v>
      </c>
    </row>
    <row r="92" spans="1:11" x14ac:dyDescent="0.25">
      <c r="A92" t="s">
        <v>279</v>
      </c>
      <c r="B92" s="4" t="s">
        <v>13</v>
      </c>
      <c r="C92" s="4" t="s">
        <v>9</v>
      </c>
      <c r="D92" s="4" t="s">
        <v>15</v>
      </c>
      <c r="I92">
        <f>SUM(E92:H92)</f>
        <v>0</v>
      </c>
    </row>
    <row r="93" spans="1:11" x14ac:dyDescent="0.25">
      <c r="A93" t="s">
        <v>280</v>
      </c>
      <c r="B93" s="4" t="s">
        <v>13</v>
      </c>
      <c r="C93" s="4" t="s">
        <v>9</v>
      </c>
      <c r="D93" s="4" t="s">
        <v>15</v>
      </c>
      <c r="I93">
        <f t="shared" ref="I93:I94" si="60">SUM(E93:H93)</f>
        <v>0</v>
      </c>
    </row>
    <row r="94" spans="1:11" x14ac:dyDescent="0.25">
      <c r="A94" t="s">
        <v>281</v>
      </c>
      <c r="B94" s="4" t="s">
        <v>13</v>
      </c>
      <c r="C94" s="4" t="s">
        <v>9</v>
      </c>
      <c r="D94" s="4" t="s">
        <v>15</v>
      </c>
      <c r="I94">
        <f t="shared" si="60"/>
        <v>0</v>
      </c>
    </row>
    <row r="95" spans="1:11" x14ac:dyDescent="0.25">
      <c r="A95" t="s">
        <v>282</v>
      </c>
      <c r="B95" s="4" t="s">
        <v>13</v>
      </c>
      <c r="C95" s="4" t="s">
        <v>9</v>
      </c>
      <c r="D95" s="4" t="s">
        <v>15</v>
      </c>
      <c r="E95">
        <f t="shared" ref="E95:J95" si="61">SUM(E92:E94)/3</f>
        <v>0</v>
      </c>
      <c r="F95">
        <f t="shared" si="61"/>
        <v>0</v>
      </c>
      <c r="G95">
        <f t="shared" si="61"/>
        <v>0</v>
      </c>
      <c r="H95">
        <f t="shared" si="61"/>
        <v>0</v>
      </c>
      <c r="I95">
        <f t="shared" si="61"/>
        <v>0</v>
      </c>
      <c r="J95">
        <f t="shared" si="61"/>
        <v>0</v>
      </c>
      <c r="K95">
        <f>SUM(K92:K94)/3</f>
        <v>0</v>
      </c>
    </row>
    <row r="96" spans="1:11" x14ac:dyDescent="0.25">
      <c r="A96" t="s">
        <v>283</v>
      </c>
      <c r="B96" s="4" t="s">
        <v>13</v>
      </c>
      <c r="C96" s="4" t="s">
        <v>9</v>
      </c>
      <c r="D96" s="4" t="s">
        <v>15</v>
      </c>
      <c r="E96">
        <f>MAX(E92:E94)</f>
        <v>0</v>
      </c>
      <c r="F96">
        <f t="shared" ref="F96:K96" si="62">MAX(F92:F94)</f>
        <v>0</v>
      </c>
      <c r="G96">
        <f t="shared" si="62"/>
        <v>0</v>
      </c>
      <c r="H96">
        <f t="shared" si="62"/>
        <v>0</v>
      </c>
      <c r="I96">
        <f t="shared" si="62"/>
        <v>0</v>
      </c>
      <c r="J96">
        <f t="shared" si="62"/>
        <v>0</v>
      </c>
      <c r="K96">
        <f t="shared" si="62"/>
        <v>0</v>
      </c>
    </row>
    <row r="97" spans="1:11" x14ac:dyDescent="0.25">
      <c r="A97" t="s">
        <v>284</v>
      </c>
      <c r="B97" s="4" t="s">
        <v>13</v>
      </c>
      <c r="C97" s="4" t="s">
        <v>9</v>
      </c>
      <c r="D97" s="4" t="s">
        <v>15</v>
      </c>
      <c r="E97">
        <f>MIN(E92:E94)</f>
        <v>0</v>
      </c>
      <c r="F97">
        <f t="shared" ref="F97:K97" si="63">MIN(F92:F94)</f>
        <v>0</v>
      </c>
      <c r="G97">
        <f t="shared" si="63"/>
        <v>0</v>
      </c>
      <c r="H97">
        <f t="shared" si="63"/>
        <v>0</v>
      </c>
      <c r="I97">
        <f t="shared" si="63"/>
        <v>0</v>
      </c>
      <c r="J97">
        <f t="shared" si="63"/>
        <v>0</v>
      </c>
      <c r="K97">
        <f t="shared" si="63"/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A0D9-3972-4068-8A16-454BB61DAC1C}">
  <dimension ref="A1:K97"/>
  <sheetViews>
    <sheetView workbookViewId="0"/>
  </sheetViews>
  <sheetFormatPr baseColWidth="10" defaultRowHeight="15" x14ac:dyDescent="0.25"/>
  <cols>
    <col min="2" max="4" width="11.42578125" style="4"/>
  </cols>
  <sheetData>
    <row r="1" spans="1:11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16</v>
      </c>
      <c r="F1" s="1" t="s">
        <v>17</v>
      </c>
      <c r="G1" s="1" t="s">
        <v>18</v>
      </c>
      <c r="H1" s="1" t="s">
        <v>16</v>
      </c>
      <c r="I1" s="1" t="s">
        <v>22</v>
      </c>
      <c r="J1" s="1" t="s">
        <v>2</v>
      </c>
      <c r="K1" s="1" t="s">
        <v>23</v>
      </c>
    </row>
    <row r="2" spans="1:11" x14ac:dyDescent="0.25">
      <c r="A2" t="s">
        <v>309</v>
      </c>
      <c r="B2" s="4" t="s">
        <v>4</v>
      </c>
      <c r="C2" s="4" t="s">
        <v>5</v>
      </c>
      <c r="D2" s="4" t="s">
        <v>6</v>
      </c>
      <c r="I2">
        <f>SUM(E2:H2)</f>
        <v>0</v>
      </c>
    </row>
    <row r="3" spans="1:11" x14ac:dyDescent="0.25">
      <c r="A3" t="s">
        <v>310</v>
      </c>
      <c r="B3" s="4" t="s">
        <v>4</v>
      </c>
      <c r="C3" s="4" t="s">
        <v>5</v>
      </c>
      <c r="D3" s="4" t="s">
        <v>6</v>
      </c>
      <c r="I3">
        <f t="shared" ref="I3:I4" si="0">SUM(E3:H3)</f>
        <v>0</v>
      </c>
    </row>
    <row r="4" spans="1:11" x14ac:dyDescent="0.25">
      <c r="A4" t="s">
        <v>311</v>
      </c>
      <c r="B4" s="4" t="s">
        <v>4</v>
      </c>
      <c r="C4" s="4" t="s">
        <v>5</v>
      </c>
      <c r="D4" s="4" t="s">
        <v>6</v>
      </c>
      <c r="I4">
        <f t="shared" si="0"/>
        <v>0</v>
      </c>
    </row>
    <row r="5" spans="1:11" x14ac:dyDescent="0.25">
      <c r="A5" t="s">
        <v>312</v>
      </c>
      <c r="B5" s="4" t="s">
        <v>4</v>
      </c>
      <c r="C5" s="4" t="s">
        <v>5</v>
      </c>
      <c r="D5" s="4" t="s">
        <v>6</v>
      </c>
      <c r="E5">
        <f t="shared" ref="E5:J5" si="1">SUM(E2:E4)/3</f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>SUM(K2:K4)/3</f>
        <v>0</v>
      </c>
    </row>
    <row r="6" spans="1:11" x14ac:dyDescent="0.25">
      <c r="A6" t="s">
        <v>313</v>
      </c>
      <c r="B6" s="4" t="s">
        <v>4</v>
      </c>
      <c r="C6" s="4" t="s">
        <v>5</v>
      </c>
      <c r="D6" s="4" t="s">
        <v>6</v>
      </c>
      <c r="E6">
        <f>MAX(E2:E4)</f>
        <v>0</v>
      </c>
      <c r="F6">
        <f t="shared" ref="F6:K6" si="2">MAX(F2:F4)</f>
        <v>0</v>
      </c>
      <c r="G6">
        <f t="shared" si="2"/>
        <v>0</v>
      </c>
      <c r="H6">
        <f t="shared" si="2"/>
        <v>0</v>
      </c>
      <c r="I6">
        <f t="shared" si="2"/>
        <v>0</v>
      </c>
      <c r="J6">
        <f t="shared" si="2"/>
        <v>0</v>
      </c>
      <c r="K6">
        <f t="shared" si="2"/>
        <v>0</v>
      </c>
    </row>
    <row r="7" spans="1:11" x14ac:dyDescent="0.25">
      <c r="A7" t="s">
        <v>314</v>
      </c>
      <c r="B7" s="4" t="s">
        <v>4</v>
      </c>
      <c r="C7" s="4" t="s">
        <v>5</v>
      </c>
      <c r="D7" s="4" t="s">
        <v>6</v>
      </c>
      <c r="E7">
        <f>MIN(E2:E4)</f>
        <v>0</v>
      </c>
      <c r="F7">
        <f t="shared" ref="F7:K7" si="3">MIN(F2:F4)</f>
        <v>0</v>
      </c>
      <c r="G7">
        <f t="shared" si="3"/>
        <v>0</v>
      </c>
      <c r="H7">
        <f t="shared" si="3"/>
        <v>0</v>
      </c>
      <c r="I7">
        <f t="shared" si="3"/>
        <v>0</v>
      </c>
      <c r="J7">
        <f t="shared" si="3"/>
        <v>0</v>
      </c>
      <c r="K7">
        <f t="shared" si="3"/>
        <v>0</v>
      </c>
    </row>
    <row r="8" spans="1:11" x14ac:dyDescent="0.25">
      <c r="A8" t="s">
        <v>333</v>
      </c>
      <c r="B8" s="4" t="s">
        <v>4</v>
      </c>
      <c r="C8" s="4" t="s">
        <v>9</v>
      </c>
      <c r="D8" s="4" t="s">
        <v>10</v>
      </c>
      <c r="I8">
        <f>SUM(E8:H8)</f>
        <v>0</v>
      </c>
    </row>
    <row r="9" spans="1:11" x14ac:dyDescent="0.25">
      <c r="A9" t="s">
        <v>334</v>
      </c>
      <c r="B9" s="4" t="s">
        <v>4</v>
      </c>
      <c r="C9" s="4" t="s">
        <v>9</v>
      </c>
      <c r="D9" s="4" t="s">
        <v>10</v>
      </c>
      <c r="I9">
        <f t="shared" ref="I9:I10" si="4">SUM(E9:H9)</f>
        <v>0</v>
      </c>
    </row>
    <row r="10" spans="1:11" x14ac:dyDescent="0.25">
      <c r="A10" t="s">
        <v>335</v>
      </c>
      <c r="B10" s="4" t="s">
        <v>4</v>
      </c>
      <c r="C10" s="4" t="s">
        <v>9</v>
      </c>
      <c r="D10" s="4" t="s">
        <v>10</v>
      </c>
      <c r="I10">
        <f t="shared" si="4"/>
        <v>0</v>
      </c>
    </row>
    <row r="11" spans="1:11" x14ac:dyDescent="0.25">
      <c r="A11" t="s">
        <v>336</v>
      </c>
      <c r="B11" s="4" t="s">
        <v>4</v>
      </c>
      <c r="C11" s="4" t="s">
        <v>9</v>
      </c>
      <c r="D11" s="4" t="s">
        <v>10</v>
      </c>
      <c r="E11">
        <f t="shared" ref="E11:J11" si="5">SUM(E8:E10)/3</f>
        <v>0</v>
      </c>
      <c r="F11">
        <f t="shared" si="5"/>
        <v>0</v>
      </c>
      <c r="G11">
        <f t="shared" si="5"/>
        <v>0</v>
      </c>
      <c r="H11">
        <f t="shared" si="5"/>
        <v>0</v>
      </c>
      <c r="I11">
        <f t="shared" si="5"/>
        <v>0</v>
      </c>
      <c r="J11">
        <f t="shared" si="5"/>
        <v>0</v>
      </c>
      <c r="K11">
        <f>SUM(K8:K10)/3</f>
        <v>0</v>
      </c>
    </row>
    <row r="12" spans="1:11" x14ac:dyDescent="0.25">
      <c r="A12" t="s">
        <v>337</v>
      </c>
      <c r="B12" s="4" t="s">
        <v>4</v>
      </c>
      <c r="C12" s="4" t="s">
        <v>9</v>
      </c>
      <c r="D12" s="4" t="s">
        <v>10</v>
      </c>
      <c r="E12">
        <f>MAX(E8:E10)</f>
        <v>0</v>
      </c>
      <c r="F12">
        <f t="shared" ref="F12:K12" si="6">MAX(F8:F10)</f>
        <v>0</v>
      </c>
      <c r="G12">
        <f t="shared" si="6"/>
        <v>0</v>
      </c>
      <c r="H12">
        <f t="shared" si="6"/>
        <v>0</v>
      </c>
      <c r="I12">
        <f t="shared" si="6"/>
        <v>0</v>
      </c>
      <c r="J12">
        <f t="shared" si="6"/>
        <v>0</v>
      </c>
      <c r="K12">
        <f t="shared" si="6"/>
        <v>0</v>
      </c>
    </row>
    <row r="13" spans="1:11" x14ac:dyDescent="0.25">
      <c r="A13" t="s">
        <v>338</v>
      </c>
      <c r="B13" s="4" t="s">
        <v>4</v>
      </c>
      <c r="C13" s="4" t="s">
        <v>9</v>
      </c>
      <c r="D13" s="4" t="s">
        <v>10</v>
      </c>
      <c r="E13">
        <f>MIN(E8:E10)</f>
        <v>0</v>
      </c>
      <c r="F13">
        <f t="shared" ref="F13:K13" si="7">MIN(F8:F10)</f>
        <v>0</v>
      </c>
      <c r="G13">
        <f t="shared" si="7"/>
        <v>0</v>
      </c>
      <c r="H13">
        <f t="shared" si="7"/>
        <v>0</v>
      </c>
      <c r="I13">
        <f t="shared" si="7"/>
        <v>0</v>
      </c>
      <c r="J13">
        <f t="shared" si="7"/>
        <v>0</v>
      </c>
      <c r="K13">
        <f t="shared" si="7"/>
        <v>0</v>
      </c>
    </row>
    <row r="14" spans="1:11" x14ac:dyDescent="0.25">
      <c r="A14" t="s">
        <v>315</v>
      </c>
      <c r="B14" s="4" t="s">
        <v>4</v>
      </c>
      <c r="C14" s="4" t="s">
        <v>5</v>
      </c>
      <c r="D14" s="4" t="s">
        <v>7</v>
      </c>
      <c r="I14">
        <f>SUM(E14:H14)</f>
        <v>0</v>
      </c>
    </row>
    <row r="15" spans="1:11" x14ac:dyDescent="0.25">
      <c r="A15" t="s">
        <v>316</v>
      </c>
      <c r="B15" s="4" t="s">
        <v>4</v>
      </c>
      <c r="C15" s="4" t="s">
        <v>5</v>
      </c>
      <c r="D15" s="4" t="s">
        <v>7</v>
      </c>
      <c r="I15">
        <f t="shared" ref="I15:I16" si="8">SUM(E15:H15)</f>
        <v>0</v>
      </c>
    </row>
    <row r="16" spans="1:11" x14ac:dyDescent="0.25">
      <c r="A16" t="s">
        <v>317</v>
      </c>
      <c r="B16" s="4" t="s">
        <v>4</v>
      </c>
      <c r="C16" s="4" t="s">
        <v>5</v>
      </c>
      <c r="D16" s="4" t="s">
        <v>7</v>
      </c>
      <c r="I16">
        <f t="shared" si="8"/>
        <v>0</v>
      </c>
    </row>
    <row r="17" spans="1:11" x14ac:dyDescent="0.25">
      <c r="A17" t="s">
        <v>318</v>
      </c>
      <c r="B17" s="4" t="s">
        <v>4</v>
      </c>
      <c r="C17" s="4" t="s">
        <v>5</v>
      </c>
      <c r="D17" s="4" t="s">
        <v>7</v>
      </c>
      <c r="E17">
        <f t="shared" ref="E17:J17" si="9">SUM(E14:E16)/3</f>
        <v>0</v>
      </c>
      <c r="F17">
        <f t="shared" si="9"/>
        <v>0</v>
      </c>
      <c r="G17">
        <f t="shared" si="9"/>
        <v>0</v>
      </c>
      <c r="H17">
        <f t="shared" si="9"/>
        <v>0</v>
      </c>
      <c r="I17">
        <f t="shared" si="9"/>
        <v>0</v>
      </c>
      <c r="J17">
        <f t="shared" si="9"/>
        <v>0</v>
      </c>
      <c r="K17">
        <f>SUM(K14:K16)/3</f>
        <v>0</v>
      </c>
    </row>
    <row r="18" spans="1:11" x14ac:dyDescent="0.25">
      <c r="A18" t="s">
        <v>319</v>
      </c>
      <c r="B18" s="4" t="s">
        <v>4</v>
      </c>
      <c r="C18" s="4" t="s">
        <v>5</v>
      </c>
      <c r="D18" s="4" t="s">
        <v>7</v>
      </c>
      <c r="E18">
        <f>MAX(E14:E16)</f>
        <v>0</v>
      </c>
      <c r="F18">
        <f t="shared" ref="F18:K18" si="10">MAX(F14:F16)</f>
        <v>0</v>
      </c>
      <c r="G18">
        <f t="shared" si="10"/>
        <v>0</v>
      </c>
      <c r="H18">
        <f t="shared" si="10"/>
        <v>0</v>
      </c>
      <c r="I18">
        <f t="shared" si="10"/>
        <v>0</v>
      </c>
      <c r="J18">
        <f t="shared" si="10"/>
        <v>0</v>
      </c>
      <c r="K18">
        <f t="shared" si="10"/>
        <v>0</v>
      </c>
    </row>
    <row r="19" spans="1:11" x14ac:dyDescent="0.25">
      <c r="A19" t="s">
        <v>320</v>
      </c>
      <c r="B19" s="4" t="s">
        <v>4</v>
      </c>
      <c r="C19" s="4" t="s">
        <v>5</v>
      </c>
      <c r="D19" s="4" t="s">
        <v>7</v>
      </c>
      <c r="E19">
        <f>MIN(E14:E16)</f>
        <v>0</v>
      </c>
      <c r="F19">
        <f t="shared" ref="F19:K19" si="11">MIN(F14:F16)</f>
        <v>0</v>
      </c>
      <c r="G19">
        <f t="shared" si="11"/>
        <v>0</v>
      </c>
      <c r="H19">
        <f t="shared" si="11"/>
        <v>0</v>
      </c>
      <c r="I19">
        <f t="shared" si="11"/>
        <v>0</v>
      </c>
      <c r="J19">
        <f t="shared" si="11"/>
        <v>0</v>
      </c>
      <c r="K19">
        <f t="shared" si="11"/>
        <v>0</v>
      </c>
    </row>
    <row r="20" spans="1:11" x14ac:dyDescent="0.25">
      <c r="A20" t="s">
        <v>339</v>
      </c>
      <c r="B20" s="4" t="s">
        <v>4</v>
      </c>
      <c r="C20" s="4" t="s">
        <v>9</v>
      </c>
      <c r="D20" s="4" t="s">
        <v>11</v>
      </c>
      <c r="I20">
        <f>SUM(E20:H20)</f>
        <v>0</v>
      </c>
    </row>
    <row r="21" spans="1:11" x14ac:dyDescent="0.25">
      <c r="A21" t="s">
        <v>340</v>
      </c>
      <c r="B21" s="4" t="s">
        <v>4</v>
      </c>
      <c r="C21" s="4" t="s">
        <v>9</v>
      </c>
      <c r="D21" s="4" t="s">
        <v>11</v>
      </c>
      <c r="I21">
        <f t="shared" ref="I21:I22" si="12">SUM(E21:H21)</f>
        <v>0</v>
      </c>
    </row>
    <row r="22" spans="1:11" x14ac:dyDescent="0.25">
      <c r="A22" t="s">
        <v>341</v>
      </c>
      <c r="B22" s="4" t="s">
        <v>4</v>
      </c>
      <c r="C22" s="4" t="s">
        <v>9</v>
      </c>
      <c r="D22" s="4" t="s">
        <v>11</v>
      </c>
      <c r="I22">
        <f t="shared" si="12"/>
        <v>0</v>
      </c>
    </row>
    <row r="23" spans="1:11" x14ac:dyDescent="0.25">
      <c r="A23" t="s">
        <v>342</v>
      </c>
      <c r="B23" s="4" t="s">
        <v>4</v>
      </c>
      <c r="C23" s="4" t="s">
        <v>9</v>
      </c>
      <c r="D23" s="4" t="s">
        <v>11</v>
      </c>
      <c r="E23">
        <f t="shared" ref="E23:J23" si="13">SUM(E20:E22)/3</f>
        <v>0</v>
      </c>
      <c r="F23">
        <f t="shared" si="13"/>
        <v>0</v>
      </c>
      <c r="G23">
        <f t="shared" si="13"/>
        <v>0</v>
      </c>
      <c r="H23">
        <f t="shared" si="13"/>
        <v>0</v>
      </c>
      <c r="I23">
        <f t="shared" si="13"/>
        <v>0</v>
      </c>
      <c r="J23">
        <f t="shared" si="13"/>
        <v>0</v>
      </c>
      <c r="K23">
        <f>SUM(K20:K22)/3</f>
        <v>0</v>
      </c>
    </row>
    <row r="24" spans="1:11" x14ac:dyDescent="0.25">
      <c r="A24" t="s">
        <v>343</v>
      </c>
      <c r="B24" s="4" t="s">
        <v>4</v>
      </c>
      <c r="C24" s="4" t="s">
        <v>9</v>
      </c>
      <c r="D24" s="4" t="s">
        <v>11</v>
      </c>
      <c r="E24">
        <f>MAX(E20:E22)</f>
        <v>0</v>
      </c>
      <c r="F24">
        <f t="shared" ref="F24:K24" si="14">MAX(F20:F22)</f>
        <v>0</v>
      </c>
      <c r="G24">
        <f t="shared" si="14"/>
        <v>0</v>
      </c>
      <c r="H24">
        <f t="shared" si="14"/>
        <v>0</v>
      </c>
      <c r="I24">
        <f t="shared" si="14"/>
        <v>0</v>
      </c>
      <c r="J24">
        <f t="shared" si="14"/>
        <v>0</v>
      </c>
      <c r="K24">
        <f t="shared" si="14"/>
        <v>0</v>
      </c>
    </row>
    <row r="25" spans="1:11" x14ac:dyDescent="0.25">
      <c r="A25" t="s">
        <v>344</v>
      </c>
      <c r="B25" s="4" t="s">
        <v>4</v>
      </c>
      <c r="C25" s="4" t="s">
        <v>9</v>
      </c>
      <c r="D25" s="4" t="s">
        <v>11</v>
      </c>
      <c r="E25">
        <f>MIN(E20:E22)</f>
        <v>0</v>
      </c>
      <c r="F25">
        <f t="shared" ref="F25:K25" si="15">MIN(F20:F22)</f>
        <v>0</v>
      </c>
      <c r="G25">
        <f t="shared" si="15"/>
        <v>0</v>
      </c>
      <c r="H25">
        <f t="shared" si="15"/>
        <v>0</v>
      </c>
      <c r="I25">
        <f t="shared" si="15"/>
        <v>0</v>
      </c>
      <c r="J25">
        <f t="shared" si="15"/>
        <v>0</v>
      </c>
      <c r="K25">
        <f t="shared" si="15"/>
        <v>0</v>
      </c>
    </row>
    <row r="26" spans="1:11" x14ac:dyDescent="0.25">
      <c r="A26" t="s">
        <v>321</v>
      </c>
      <c r="B26" s="4" t="s">
        <v>4</v>
      </c>
      <c r="C26" s="4" t="s">
        <v>5</v>
      </c>
      <c r="D26" s="4" t="s">
        <v>8</v>
      </c>
      <c r="I26">
        <f>SUM(E26:H26)</f>
        <v>0</v>
      </c>
    </row>
    <row r="27" spans="1:11" x14ac:dyDescent="0.25">
      <c r="A27" t="s">
        <v>322</v>
      </c>
      <c r="B27" s="4" t="s">
        <v>4</v>
      </c>
      <c r="C27" s="4" t="s">
        <v>5</v>
      </c>
      <c r="D27" s="4" t="s">
        <v>8</v>
      </c>
      <c r="I27">
        <f t="shared" ref="I27:I28" si="16">SUM(E27:H27)</f>
        <v>0</v>
      </c>
    </row>
    <row r="28" spans="1:11" x14ac:dyDescent="0.25">
      <c r="A28" t="s">
        <v>323</v>
      </c>
      <c r="B28" s="4" t="s">
        <v>4</v>
      </c>
      <c r="C28" s="4" t="s">
        <v>5</v>
      </c>
      <c r="D28" s="4" t="s">
        <v>8</v>
      </c>
      <c r="I28">
        <f t="shared" si="16"/>
        <v>0</v>
      </c>
    </row>
    <row r="29" spans="1:11" x14ac:dyDescent="0.25">
      <c r="A29" t="s">
        <v>324</v>
      </c>
      <c r="B29" s="4" t="s">
        <v>4</v>
      </c>
      <c r="C29" s="4" t="s">
        <v>5</v>
      </c>
      <c r="D29" s="4" t="s">
        <v>8</v>
      </c>
      <c r="E29">
        <f t="shared" ref="E29:J29" si="17">SUM(E26:E28)/3</f>
        <v>0</v>
      </c>
      <c r="F29">
        <f t="shared" si="17"/>
        <v>0</v>
      </c>
      <c r="G29">
        <f t="shared" si="17"/>
        <v>0</v>
      </c>
      <c r="H29">
        <f t="shared" si="17"/>
        <v>0</v>
      </c>
      <c r="I29">
        <f t="shared" si="17"/>
        <v>0</v>
      </c>
      <c r="J29">
        <f t="shared" si="17"/>
        <v>0</v>
      </c>
      <c r="K29">
        <f>SUM(K26:K28)/3</f>
        <v>0</v>
      </c>
    </row>
    <row r="30" spans="1:11" x14ac:dyDescent="0.25">
      <c r="A30" t="s">
        <v>325</v>
      </c>
      <c r="B30" s="4" t="s">
        <v>4</v>
      </c>
      <c r="C30" s="4" t="s">
        <v>5</v>
      </c>
      <c r="D30" s="4" t="s">
        <v>8</v>
      </c>
      <c r="E30">
        <f>MAX(E26:E28)</f>
        <v>0</v>
      </c>
      <c r="F30">
        <f t="shared" ref="F30:K30" si="18">MAX(F26:F28)</f>
        <v>0</v>
      </c>
      <c r="G30">
        <f t="shared" si="18"/>
        <v>0</v>
      </c>
      <c r="H30">
        <f t="shared" si="18"/>
        <v>0</v>
      </c>
      <c r="I30">
        <f t="shared" si="18"/>
        <v>0</v>
      </c>
      <c r="J30">
        <f t="shared" si="18"/>
        <v>0</v>
      </c>
      <c r="K30">
        <f t="shared" si="18"/>
        <v>0</v>
      </c>
    </row>
    <row r="31" spans="1:11" x14ac:dyDescent="0.25">
      <c r="A31" t="s">
        <v>326</v>
      </c>
      <c r="B31" s="4" t="s">
        <v>4</v>
      </c>
      <c r="C31" s="4" t="s">
        <v>5</v>
      </c>
      <c r="D31" s="4" t="s">
        <v>8</v>
      </c>
      <c r="E31">
        <f>MIN(E26:E28)</f>
        <v>0</v>
      </c>
      <c r="F31">
        <f t="shared" ref="F31:K31" si="19">MIN(F26:F28)</f>
        <v>0</v>
      </c>
      <c r="G31">
        <f t="shared" si="19"/>
        <v>0</v>
      </c>
      <c r="H31">
        <f t="shared" si="19"/>
        <v>0</v>
      </c>
      <c r="I31">
        <f t="shared" si="19"/>
        <v>0</v>
      </c>
      <c r="J31">
        <f t="shared" si="19"/>
        <v>0</v>
      </c>
      <c r="K31">
        <f t="shared" si="19"/>
        <v>0</v>
      </c>
    </row>
    <row r="32" spans="1:11" x14ac:dyDescent="0.25">
      <c r="A32" t="s">
        <v>345</v>
      </c>
      <c r="B32" s="4" t="s">
        <v>4</v>
      </c>
      <c r="C32" s="4" t="s">
        <v>9</v>
      </c>
      <c r="D32" s="4" t="s">
        <v>12</v>
      </c>
      <c r="I32">
        <f>SUM(E32:H32)</f>
        <v>0</v>
      </c>
    </row>
    <row r="33" spans="1:11" x14ac:dyDescent="0.25">
      <c r="A33" t="s">
        <v>346</v>
      </c>
      <c r="B33" s="4" t="s">
        <v>4</v>
      </c>
      <c r="C33" s="4" t="s">
        <v>9</v>
      </c>
      <c r="D33" s="4" t="s">
        <v>12</v>
      </c>
      <c r="I33">
        <f t="shared" ref="I33:I34" si="20">SUM(E33:H33)</f>
        <v>0</v>
      </c>
    </row>
    <row r="34" spans="1:11" x14ac:dyDescent="0.25">
      <c r="A34" t="s">
        <v>347</v>
      </c>
      <c r="B34" s="4" t="s">
        <v>4</v>
      </c>
      <c r="C34" s="4" t="s">
        <v>9</v>
      </c>
      <c r="D34" s="4" t="s">
        <v>12</v>
      </c>
      <c r="I34">
        <f t="shared" si="20"/>
        <v>0</v>
      </c>
    </row>
    <row r="35" spans="1:11" x14ac:dyDescent="0.25">
      <c r="A35" t="s">
        <v>348</v>
      </c>
      <c r="B35" s="4" t="s">
        <v>4</v>
      </c>
      <c r="C35" s="4" t="s">
        <v>9</v>
      </c>
      <c r="D35" s="4" t="s">
        <v>12</v>
      </c>
      <c r="E35">
        <f t="shared" ref="E35:J35" si="21">SUM(E32:E34)/3</f>
        <v>0</v>
      </c>
      <c r="F35">
        <f t="shared" si="21"/>
        <v>0</v>
      </c>
      <c r="G35">
        <f t="shared" si="21"/>
        <v>0</v>
      </c>
      <c r="H35">
        <f t="shared" si="21"/>
        <v>0</v>
      </c>
      <c r="I35">
        <f t="shared" si="21"/>
        <v>0</v>
      </c>
      <c r="J35">
        <f t="shared" si="21"/>
        <v>0</v>
      </c>
      <c r="K35">
        <f>SUM(K32:K34)/3</f>
        <v>0</v>
      </c>
    </row>
    <row r="36" spans="1:11" x14ac:dyDescent="0.25">
      <c r="A36" t="s">
        <v>349</v>
      </c>
      <c r="B36" s="4" t="s">
        <v>4</v>
      </c>
      <c r="C36" s="4" t="s">
        <v>9</v>
      </c>
      <c r="D36" s="4" t="s">
        <v>12</v>
      </c>
      <c r="E36">
        <f>MAX(E32:E34)</f>
        <v>0</v>
      </c>
      <c r="F36">
        <f t="shared" ref="F36:K36" si="22">MAX(F32:F34)</f>
        <v>0</v>
      </c>
      <c r="G36">
        <f t="shared" si="22"/>
        <v>0</v>
      </c>
      <c r="H36">
        <f t="shared" si="22"/>
        <v>0</v>
      </c>
      <c r="I36">
        <f t="shared" si="22"/>
        <v>0</v>
      </c>
      <c r="J36">
        <f t="shared" si="22"/>
        <v>0</v>
      </c>
      <c r="K36">
        <f t="shared" si="22"/>
        <v>0</v>
      </c>
    </row>
    <row r="37" spans="1:11" x14ac:dyDescent="0.25">
      <c r="A37" t="s">
        <v>350</v>
      </c>
      <c r="B37" s="4" t="s">
        <v>4</v>
      </c>
      <c r="C37" s="4" t="s">
        <v>9</v>
      </c>
      <c r="D37" s="4" t="s">
        <v>12</v>
      </c>
      <c r="E37">
        <f>MIN(E32:E34)</f>
        <v>0</v>
      </c>
      <c r="F37">
        <f t="shared" ref="F37:K37" si="23">MIN(F32:F34)</f>
        <v>0</v>
      </c>
      <c r="G37">
        <f t="shared" si="23"/>
        <v>0</v>
      </c>
      <c r="H37">
        <f t="shared" si="23"/>
        <v>0</v>
      </c>
      <c r="I37">
        <f t="shared" si="23"/>
        <v>0</v>
      </c>
      <c r="J37">
        <f t="shared" si="23"/>
        <v>0</v>
      </c>
      <c r="K37">
        <f t="shared" si="23"/>
        <v>0</v>
      </c>
    </row>
    <row r="38" spans="1:11" x14ac:dyDescent="0.25">
      <c r="A38" t="s">
        <v>327</v>
      </c>
      <c r="B38" s="4" t="s">
        <v>4</v>
      </c>
      <c r="C38" s="4" t="s">
        <v>5</v>
      </c>
      <c r="D38" s="4" t="s">
        <v>14</v>
      </c>
      <c r="I38">
        <f>SUM(E38:H38)</f>
        <v>0</v>
      </c>
    </row>
    <row r="39" spans="1:11" x14ac:dyDescent="0.25">
      <c r="A39" t="s">
        <v>328</v>
      </c>
      <c r="B39" s="4" t="s">
        <v>4</v>
      </c>
      <c r="C39" s="4" t="s">
        <v>5</v>
      </c>
      <c r="D39" s="4" t="s">
        <v>14</v>
      </c>
      <c r="I39">
        <f t="shared" ref="I39:I40" si="24">SUM(E39:H39)</f>
        <v>0</v>
      </c>
    </row>
    <row r="40" spans="1:11" x14ac:dyDescent="0.25">
      <c r="A40" t="s">
        <v>329</v>
      </c>
      <c r="B40" s="4" t="s">
        <v>4</v>
      </c>
      <c r="C40" s="4" t="s">
        <v>5</v>
      </c>
      <c r="D40" s="4" t="s">
        <v>14</v>
      </c>
      <c r="I40">
        <f t="shared" si="24"/>
        <v>0</v>
      </c>
    </row>
    <row r="41" spans="1:11" x14ac:dyDescent="0.25">
      <c r="A41" t="s">
        <v>330</v>
      </c>
      <c r="B41" s="4" t="s">
        <v>4</v>
      </c>
      <c r="C41" s="4" t="s">
        <v>5</v>
      </c>
      <c r="D41" s="4" t="s">
        <v>14</v>
      </c>
      <c r="E41">
        <f t="shared" ref="E41:J41" si="25">SUM(E38:E40)/3</f>
        <v>0</v>
      </c>
      <c r="F41">
        <f t="shared" si="25"/>
        <v>0</v>
      </c>
      <c r="G41">
        <f t="shared" si="25"/>
        <v>0</v>
      </c>
      <c r="H41">
        <f t="shared" si="25"/>
        <v>0</v>
      </c>
      <c r="I41">
        <f t="shared" si="25"/>
        <v>0</v>
      </c>
      <c r="J41">
        <f t="shared" si="25"/>
        <v>0</v>
      </c>
      <c r="K41">
        <f>SUM(K38:K40)/3</f>
        <v>0</v>
      </c>
    </row>
    <row r="42" spans="1:11" x14ac:dyDescent="0.25">
      <c r="A42" t="s">
        <v>331</v>
      </c>
      <c r="B42" s="4" t="s">
        <v>4</v>
      </c>
      <c r="C42" s="4" t="s">
        <v>5</v>
      </c>
      <c r="D42" s="4" t="s">
        <v>14</v>
      </c>
      <c r="E42">
        <f>MAX(E38:E40)</f>
        <v>0</v>
      </c>
      <c r="F42">
        <f t="shared" ref="F42:K42" si="26">MAX(F38:F40)</f>
        <v>0</v>
      </c>
      <c r="G42">
        <f t="shared" si="26"/>
        <v>0</v>
      </c>
      <c r="H42">
        <f t="shared" si="26"/>
        <v>0</v>
      </c>
      <c r="I42">
        <f t="shared" si="26"/>
        <v>0</v>
      </c>
      <c r="J42">
        <f t="shared" si="26"/>
        <v>0</v>
      </c>
      <c r="K42">
        <f t="shared" si="26"/>
        <v>0</v>
      </c>
    </row>
    <row r="43" spans="1:11" x14ac:dyDescent="0.25">
      <c r="A43" t="s">
        <v>332</v>
      </c>
      <c r="B43" s="4" t="s">
        <v>4</v>
      </c>
      <c r="C43" s="4" t="s">
        <v>5</v>
      </c>
      <c r="D43" s="4" t="s">
        <v>14</v>
      </c>
      <c r="E43">
        <f>MIN(E38:E40)</f>
        <v>0</v>
      </c>
      <c r="F43">
        <f t="shared" ref="F43:K43" si="27">MIN(F38:F40)</f>
        <v>0</v>
      </c>
      <c r="G43">
        <f t="shared" si="27"/>
        <v>0</v>
      </c>
      <c r="H43">
        <f t="shared" si="27"/>
        <v>0</v>
      </c>
      <c r="I43">
        <f t="shared" si="27"/>
        <v>0</v>
      </c>
      <c r="J43">
        <f t="shared" si="27"/>
        <v>0</v>
      </c>
      <c r="K43">
        <f t="shared" si="27"/>
        <v>0</v>
      </c>
    </row>
    <row r="44" spans="1:11" x14ac:dyDescent="0.25">
      <c r="A44" t="s">
        <v>351</v>
      </c>
      <c r="B44" s="4" t="s">
        <v>4</v>
      </c>
      <c r="C44" s="4" t="s">
        <v>9</v>
      </c>
      <c r="D44" s="4" t="s">
        <v>15</v>
      </c>
      <c r="I44">
        <f>SUM(E44:H44)</f>
        <v>0</v>
      </c>
    </row>
    <row r="45" spans="1:11" x14ac:dyDescent="0.25">
      <c r="A45" t="s">
        <v>352</v>
      </c>
      <c r="B45" s="4" t="s">
        <v>4</v>
      </c>
      <c r="C45" s="4" t="s">
        <v>9</v>
      </c>
      <c r="D45" s="4" t="s">
        <v>15</v>
      </c>
      <c r="I45">
        <f t="shared" ref="I45:I46" si="28">SUM(E45:H45)</f>
        <v>0</v>
      </c>
    </row>
    <row r="46" spans="1:11" x14ac:dyDescent="0.25">
      <c r="A46" t="s">
        <v>353</v>
      </c>
      <c r="B46" s="4" t="s">
        <v>4</v>
      </c>
      <c r="C46" s="4" t="s">
        <v>9</v>
      </c>
      <c r="D46" s="4" t="s">
        <v>15</v>
      </c>
      <c r="I46">
        <f t="shared" si="28"/>
        <v>0</v>
      </c>
    </row>
    <row r="47" spans="1:11" x14ac:dyDescent="0.25">
      <c r="A47" t="s">
        <v>354</v>
      </c>
      <c r="B47" s="4" t="s">
        <v>4</v>
      </c>
      <c r="C47" s="4" t="s">
        <v>9</v>
      </c>
      <c r="D47" s="4" t="s">
        <v>15</v>
      </c>
      <c r="E47">
        <f t="shared" ref="E47:J47" si="29">SUM(E44:E46)/3</f>
        <v>0</v>
      </c>
      <c r="F47">
        <f t="shared" si="29"/>
        <v>0</v>
      </c>
      <c r="G47">
        <f t="shared" si="29"/>
        <v>0</v>
      </c>
      <c r="H47">
        <f t="shared" si="29"/>
        <v>0</v>
      </c>
      <c r="I47">
        <f t="shared" si="29"/>
        <v>0</v>
      </c>
      <c r="J47">
        <f t="shared" si="29"/>
        <v>0</v>
      </c>
      <c r="K47">
        <f>SUM(K44:K46)/3</f>
        <v>0</v>
      </c>
    </row>
    <row r="48" spans="1:11" x14ac:dyDescent="0.25">
      <c r="A48" t="s">
        <v>355</v>
      </c>
      <c r="B48" s="4" t="s">
        <v>4</v>
      </c>
      <c r="C48" s="4" t="s">
        <v>9</v>
      </c>
      <c r="D48" s="4" t="s">
        <v>15</v>
      </c>
      <c r="E48">
        <f>MAX(E44:E46)</f>
        <v>0</v>
      </c>
      <c r="F48">
        <f t="shared" ref="F48:K48" si="30">MAX(F44:F46)</f>
        <v>0</v>
      </c>
      <c r="G48">
        <f t="shared" si="30"/>
        <v>0</v>
      </c>
      <c r="H48">
        <f t="shared" si="30"/>
        <v>0</v>
      </c>
      <c r="I48">
        <f t="shared" si="30"/>
        <v>0</v>
      </c>
      <c r="J48">
        <f t="shared" si="30"/>
        <v>0</v>
      </c>
      <c r="K48">
        <f t="shared" si="30"/>
        <v>0</v>
      </c>
    </row>
    <row r="49" spans="1:11" x14ac:dyDescent="0.25">
      <c r="A49" t="s">
        <v>356</v>
      </c>
      <c r="B49" s="4" t="s">
        <v>4</v>
      </c>
      <c r="C49" s="4" t="s">
        <v>9</v>
      </c>
      <c r="D49" s="4" t="s">
        <v>15</v>
      </c>
      <c r="E49">
        <f>MIN(E44:E46)</f>
        <v>0</v>
      </c>
      <c r="F49">
        <f t="shared" ref="F49:K49" si="31">MIN(F44:F46)</f>
        <v>0</v>
      </c>
      <c r="G49">
        <f t="shared" si="31"/>
        <v>0</v>
      </c>
      <c r="H49">
        <f t="shared" si="31"/>
        <v>0</v>
      </c>
      <c r="I49">
        <f t="shared" si="31"/>
        <v>0</v>
      </c>
      <c r="J49">
        <f t="shared" si="31"/>
        <v>0</v>
      </c>
      <c r="K49">
        <f t="shared" si="31"/>
        <v>0</v>
      </c>
    </row>
    <row r="50" spans="1:11" x14ac:dyDescent="0.25">
      <c r="A50" t="s">
        <v>381</v>
      </c>
      <c r="B50" s="4" t="s">
        <v>13</v>
      </c>
      <c r="C50" s="4" t="s">
        <v>5</v>
      </c>
      <c r="D50" s="4" t="s">
        <v>6</v>
      </c>
      <c r="I50">
        <f>SUM(E50:H50)</f>
        <v>0</v>
      </c>
    </row>
    <row r="51" spans="1:11" x14ac:dyDescent="0.25">
      <c r="A51" t="s">
        <v>382</v>
      </c>
      <c r="B51" s="4" t="s">
        <v>13</v>
      </c>
      <c r="C51" s="4" t="s">
        <v>5</v>
      </c>
      <c r="D51" s="4" t="s">
        <v>6</v>
      </c>
      <c r="I51">
        <f t="shared" ref="I51:I52" si="32">SUM(E51:H51)</f>
        <v>0</v>
      </c>
    </row>
    <row r="52" spans="1:11" x14ac:dyDescent="0.25">
      <c r="A52" t="s">
        <v>383</v>
      </c>
      <c r="B52" s="4" t="s">
        <v>13</v>
      </c>
      <c r="C52" s="4" t="s">
        <v>5</v>
      </c>
      <c r="D52" s="4" t="s">
        <v>6</v>
      </c>
      <c r="I52">
        <f t="shared" si="32"/>
        <v>0</v>
      </c>
    </row>
    <row r="53" spans="1:11" x14ac:dyDescent="0.25">
      <c r="A53" t="s">
        <v>384</v>
      </c>
      <c r="B53" s="4" t="s">
        <v>13</v>
      </c>
      <c r="C53" s="4" t="s">
        <v>5</v>
      </c>
      <c r="D53" s="4" t="s">
        <v>6</v>
      </c>
      <c r="E53">
        <f t="shared" ref="E53:J53" si="33">SUM(E50:E52)/3</f>
        <v>0</v>
      </c>
      <c r="F53">
        <f t="shared" si="33"/>
        <v>0</v>
      </c>
      <c r="G53">
        <f t="shared" si="33"/>
        <v>0</v>
      </c>
      <c r="H53">
        <f t="shared" si="33"/>
        <v>0</v>
      </c>
      <c r="I53">
        <f t="shared" si="33"/>
        <v>0</v>
      </c>
      <c r="J53">
        <f t="shared" si="33"/>
        <v>0</v>
      </c>
      <c r="K53">
        <f>SUM(K50:K52)/3</f>
        <v>0</v>
      </c>
    </row>
    <row r="54" spans="1:11" x14ac:dyDescent="0.25">
      <c r="A54" t="s">
        <v>385</v>
      </c>
      <c r="B54" s="4" t="s">
        <v>13</v>
      </c>
      <c r="C54" s="4" t="s">
        <v>5</v>
      </c>
      <c r="D54" s="4" t="s">
        <v>6</v>
      </c>
      <c r="E54">
        <f>MAX(E50:E52)</f>
        <v>0</v>
      </c>
      <c r="F54">
        <f t="shared" ref="F54:K54" si="34">MAX(F50:F52)</f>
        <v>0</v>
      </c>
      <c r="G54">
        <f t="shared" si="34"/>
        <v>0</v>
      </c>
      <c r="H54">
        <f t="shared" si="34"/>
        <v>0</v>
      </c>
      <c r="I54">
        <f t="shared" si="34"/>
        <v>0</v>
      </c>
      <c r="J54">
        <f t="shared" si="34"/>
        <v>0</v>
      </c>
      <c r="K54">
        <f t="shared" si="34"/>
        <v>0</v>
      </c>
    </row>
    <row r="55" spans="1:11" x14ac:dyDescent="0.25">
      <c r="A55" t="s">
        <v>386</v>
      </c>
      <c r="B55" s="4" t="s">
        <v>13</v>
      </c>
      <c r="C55" s="4" t="s">
        <v>5</v>
      </c>
      <c r="D55" s="4" t="s">
        <v>6</v>
      </c>
      <c r="E55">
        <f>MIN(E50:E52)</f>
        <v>0</v>
      </c>
      <c r="F55">
        <f t="shared" ref="F55:K55" si="35">MIN(F50:F52)</f>
        <v>0</v>
      </c>
      <c r="G55">
        <f t="shared" si="35"/>
        <v>0</v>
      </c>
      <c r="H55">
        <f t="shared" si="35"/>
        <v>0</v>
      </c>
      <c r="I55">
        <f t="shared" si="35"/>
        <v>0</v>
      </c>
      <c r="J55">
        <f t="shared" si="35"/>
        <v>0</v>
      </c>
      <c r="K55">
        <f t="shared" si="35"/>
        <v>0</v>
      </c>
    </row>
    <row r="56" spans="1:11" x14ac:dyDescent="0.25">
      <c r="A56" t="s">
        <v>357</v>
      </c>
      <c r="B56" s="4" t="s">
        <v>13</v>
      </c>
      <c r="C56" s="4" t="s">
        <v>9</v>
      </c>
      <c r="D56" s="4" t="s">
        <v>10</v>
      </c>
      <c r="I56">
        <f>SUM(E56:H56)</f>
        <v>0</v>
      </c>
    </row>
    <row r="57" spans="1:11" x14ac:dyDescent="0.25">
      <c r="A57" t="s">
        <v>358</v>
      </c>
      <c r="B57" s="4" t="s">
        <v>13</v>
      </c>
      <c r="C57" s="4" t="s">
        <v>9</v>
      </c>
      <c r="D57" s="4" t="s">
        <v>10</v>
      </c>
      <c r="I57">
        <f t="shared" ref="I57:I58" si="36">SUM(E57:H57)</f>
        <v>0</v>
      </c>
    </row>
    <row r="58" spans="1:11" x14ac:dyDescent="0.25">
      <c r="A58" t="s">
        <v>359</v>
      </c>
      <c r="B58" s="4" t="s">
        <v>13</v>
      </c>
      <c r="C58" s="4" t="s">
        <v>9</v>
      </c>
      <c r="D58" s="4" t="s">
        <v>10</v>
      </c>
      <c r="I58">
        <f t="shared" si="36"/>
        <v>0</v>
      </c>
    </row>
    <row r="59" spans="1:11" x14ac:dyDescent="0.25">
      <c r="A59" t="s">
        <v>360</v>
      </c>
      <c r="B59" s="4" t="s">
        <v>13</v>
      </c>
      <c r="C59" s="4" t="s">
        <v>9</v>
      </c>
      <c r="D59" s="4" t="s">
        <v>10</v>
      </c>
      <c r="E59">
        <f t="shared" ref="E59:J59" si="37">SUM(E56:E58)/3</f>
        <v>0</v>
      </c>
      <c r="F59">
        <f t="shared" si="37"/>
        <v>0</v>
      </c>
      <c r="G59">
        <f t="shared" si="37"/>
        <v>0</v>
      </c>
      <c r="H59">
        <f t="shared" si="37"/>
        <v>0</v>
      </c>
      <c r="I59">
        <f t="shared" si="37"/>
        <v>0</v>
      </c>
      <c r="J59">
        <f t="shared" si="37"/>
        <v>0</v>
      </c>
      <c r="K59">
        <f>SUM(K56:K58)/3</f>
        <v>0</v>
      </c>
    </row>
    <row r="60" spans="1:11" x14ac:dyDescent="0.25">
      <c r="A60" t="s">
        <v>361</v>
      </c>
      <c r="B60" s="4" t="s">
        <v>13</v>
      </c>
      <c r="C60" s="4" t="s">
        <v>9</v>
      </c>
      <c r="D60" s="4" t="s">
        <v>10</v>
      </c>
      <c r="E60">
        <f>MAX(E56:E58)</f>
        <v>0</v>
      </c>
      <c r="F60">
        <f t="shared" ref="F60:K60" si="38">MAX(F56:F58)</f>
        <v>0</v>
      </c>
      <c r="G60">
        <f t="shared" si="38"/>
        <v>0</v>
      </c>
      <c r="H60">
        <f t="shared" si="38"/>
        <v>0</v>
      </c>
      <c r="I60">
        <f t="shared" si="38"/>
        <v>0</v>
      </c>
      <c r="J60">
        <f t="shared" si="38"/>
        <v>0</v>
      </c>
      <c r="K60">
        <f t="shared" si="38"/>
        <v>0</v>
      </c>
    </row>
    <row r="61" spans="1:11" x14ac:dyDescent="0.25">
      <c r="A61" t="s">
        <v>362</v>
      </c>
      <c r="B61" s="4" t="s">
        <v>13</v>
      </c>
      <c r="C61" s="4" t="s">
        <v>9</v>
      </c>
      <c r="D61" s="4" t="s">
        <v>10</v>
      </c>
      <c r="E61">
        <f>MIN(E56:E58)</f>
        <v>0</v>
      </c>
      <c r="F61">
        <f t="shared" ref="F61:K61" si="39">MIN(F56:F58)</f>
        <v>0</v>
      </c>
      <c r="G61">
        <f t="shared" si="39"/>
        <v>0</v>
      </c>
      <c r="H61">
        <f t="shared" si="39"/>
        <v>0</v>
      </c>
      <c r="I61">
        <f t="shared" si="39"/>
        <v>0</v>
      </c>
      <c r="J61">
        <f t="shared" si="39"/>
        <v>0</v>
      </c>
      <c r="K61">
        <f t="shared" si="39"/>
        <v>0</v>
      </c>
    </row>
    <row r="62" spans="1:11" x14ac:dyDescent="0.25">
      <c r="A62" t="s">
        <v>387</v>
      </c>
      <c r="B62" s="4" t="s">
        <v>13</v>
      </c>
      <c r="C62" s="4" t="s">
        <v>5</v>
      </c>
      <c r="D62" s="4" t="s">
        <v>7</v>
      </c>
      <c r="I62">
        <f>SUM(E62:H62)</f>
        <v>0</v>
      </c>
    </row>
    <row r="63" spans="1:11" x14ac:dyDescent="0.25">
      <c r="A63" t="s">
        <v>388</v>
      </c>
      <c r="B63" s="4" t="s">
        <v>13</v>
      </c>
      <c r="C63" s="4" t="s">
        <v>5</v>
      </c>
      <c r="D63" s="4" t="s">
        <v>7</v>
      </c>
      <c r="I63">
        <f t="shared" ref="I63:I64" si="40">SUM(E63:H63)</f>
        <v>0</v>
      </c>
    </row>
    <row r="64" spans="1:11" x14ac:dyDescent="0.25">
      <c r="A64" t="s">
        <v>389</v>
      </c>
      <c r="B64" s="4" t="s">
        <v>13</v>
      </c>
      <c r="C64" s="4" t="s">
        <v>5</v>
      </c>
      <c r="D64" s="4" t="s">
        <v>7</v>
      </c>
      <c r="I64">
        <f t="shared" si="40"/>
        <v>0</v>
      </c>
    </row>
    <row r="65" spans="1:11" x14ac:dyDescent="0.25">
      <c r="A65" t="s">
        <v>390</v>
      </c>
      <c r="B65" s="4" t="s">
        <v>13</v>
      </c>
      <c r="C65" s="4" t="s">
        <v>5</v>
      </c>
      <c r="D65" s="4" t="s">
        <v>7</v>
      </c>
      <c r="E65">
        <f t="shared" ref="E65:J65" si="41">SUM(E62:E64)/3</f>
        <v>0</v>
      </c>
      <c r="F65">
        <f t="shared" si="41"/>
        <v>0</v>
      </c>
      <c r="G65">
        <f t="shared" si="41"/>
        <v>0</v>
      </c>
      <c r="H65">
        <f t="shared" si="41"/>
        <v>0</v>
      </c>
      <c r="I65">
        <f t="shared" si="41"/>
        <v>0</v>
      </c>
      <c r="J65">
        <f t="shared" si="41"/>
        <v>0</v>
      </c>
      <c r="K65">
        <f>SUM(K62:K64)/3</f>
        <v>0</v>
      </c>
    </row>
    <row r="66" spans="1:11" x14ac:dyDescent="0.25">
      <c r="A66" t="s">
        <v>391</v>
      </c>
      <c r="B66" s="4" t="s">
        <v>13</v>
      </c>
      <c r="C66" s="4" t="s">
        <v>5</v>
      </c>
      <c r="D66" s="4" t="s">
        <v>7</v>
      </c>
      <c r="E66">
        <f>MAX(E62:E64)</f>
        <v>0</v>
      </c>
      <c r="F66">
        <f t="shared" ref="F66:K66" si="42">MAX(F62:F64)</f>
        <v>0</v>
      </c>
      <c r="G66">
        <f t="shared" si="42"/>
        <v>0</v>
      </c>
      <c r="H66">
        <f t="shared" si="42"/>
        <v>0</v>
      </c>
      <c r="I66">
        <f t="shared" si="42"/>
        <v>0</v>
      </c>
      <c r="J66">
        <f t="shared" si="42"/>
        <v>0</v>
      </c>
      <c r="K66">
        <f t="shared" si="42"/>
        <v>0</v>
      </c>
    </row>
    <row r="67" spans="1:11" x14ac:dyDescent="0.25">
      <c r="A67" t="s">
        <v>392</v>
      </c>
      <c r="B67" s="4" t="s">
        <v>13</v>
      </c>
      <c r="C67" s="4" t="s">
        <v>5</v>
      </c>
      <c r="D67" s="4" t="s">
        <v>7</v>
      </c>
      <c r="E67">
        <f>MIN(E62:E64)</f>
        <v>0</v>
      </c>
      <c r="F67">
        <f t="shared" ref="F67:K67" si="43">MIN(F62:F64)</f>
        <v>0</v>
      </c>
      <c r="G67">
        <f t="shared" si="43"/>
        <v>0</v>
      </c>
      <c r="H67">
        <f t="shared" si="43"/>
        <v>0</v>
      </c>
      <c r="I67">
        <f t="shared" si="43"/>
        <v>0</v>
      </c>
      <c r="J67">
        <f t="shared" si="43"/>
        <v>0</v>
      </c>
      <c r="K67">
        <f t="shared" si="43"/>
        <v>0</v>
      </c>
    </row>
    <row r="68" spans="1:11" x14ac:dyDescent="0.25">
      <c r="A68" t="s">
        <v>363</v>
      </c>
      <c r="B68" s="4" t="s">
        <v>13</v>
      </c>
      <c r="C68" s="4" t="s">
        <v>9</v>
      </c>
      <c r="D68" s="4" t="s">
        <v>11</v>
      </c>
      <c r="I68">
        <f>SUM(E68:H68)</f>
        <v>0</v>
      </c>
    </row>
    <row r="69" spans="1:11" x14ac:dyDescent="0.25">
      <c r="A69" t="s">
        <v>364</v>
      </c>
      <c r="B69" s="4" t="s">
        <v>13</v>
      </c>
      <c r="C69" s="4" t="s">
        <v>9</v>
      </c>
      <c r="D69" s="4" t="s">
        <v>11</v>
      </c>
      <c r="I69">
        <f t="shared" ref="I69:I70" si="44">SUM(E69:H69)</f>
        <v>0</v>
      </c>
    </row>
    <row r="70" spans="1:11" x14ac:dyDescent="0.25">
      <c r="A70" t="s">
        <v>365</v>
      </c>
      <c r="B70" s="4" t="s">
        <v>13</v>
      </c>
      <c r="C70" s="4" t="s">
        <v>9</v>
      </c>
      <c r="D70" s="4" t="s">
        <v>11</v>
      </c>
      <c r="I70">
        <f t="shared" si="44"/>
        <v>0</v>
      </c>
    </row>
    <row r="71" spans="1:11" x14ac:dyDescent="0.25">
      <c r="A71" t="s">
        <v>366</v>
      </c>
      <c r="B71" s="4" t="s">
        <v>13</v>
      </c>
      <c r="C71" s="4" t="s">
        <v>9</v>
      </c>
      <c r="D71" s="4" t="s">
        <v>11</v>
      </c>
      <c r="E71">
        <f t="shared" ref="E71:J71" si="45">SUM(E68:E70)/3</f>
        <v>0</v>
      </c>
      <c r="F71">
        <f t="shared" si="45"/>
        <v>0</v>
      </c>
      <c r="G71">
        <f t="shared" si="45"/>
        <v>0</v>
      </c>
      <c r="H71">
        <f t="shared" si="45"/>
        <v>0</v>
      </c>
      <c r="I71">
        <f t="shared" si="45"/>
        <v>0</v>
      </c>
      <c r="J71">
        <f t="shared" si="45"/>
        <v>0</v>
      </c>
      <c r="K71">
        <f>SUM(K68:K70)/3</f>
        <v>0</v>
      </c>
    </row>
    <row r="72" spans="1:11" x14ac:dyDescent="0.25">
      <c r="A72" t="s">
        <v>367</v>
      </c>
      <c r="B72" s="4" t="s">
        <v>13</v>
      </c>
      <c r="C72" s="4" t="s">
        <v>9</v>
      </c>
      <c r="D72" s="4" t="s">
        <v>11</v>
      </c>
      <c r="E72">
        <f>MAX(E68:E70)</f>
        <v>0</v>
      </c>
      <c r="F72">
        <f t="shared" ref="F72:K72" si="46">MAX(F68:F70)</f>
        <v>0</v>
      </c>
      <c r="G72">
        <f t="shared" si="46"/>
        <v>0</v>
      </c>
      <c r="H72">
        <f t="shared" si="46"/>
        <v>0</v>
      </c>
      <c r="I72">
        <f t="shared" si="46"/>
        <v>0</v>
      </c>
      <c r="J72">
        <f t="shared" si="46"/>
        <v>0</v>
      </c>
      <c r="K72">
        <f t="shared" si="46"/>
        <v>0</v>
      </c>
    </row>
    <row r="73" spans="1:11" x14ac:dyDescent="0.25">
      <c r="A73" t="s">
        <v>368</v>
      </c>
      <c r="B73" s="4" t="s">
        <v>13</v>
      </c>
      <c r="C73" s="4" t="s">
        <v>9</v>
      </c>
      <c r="D73" s="4" t="s">
        <v>11</v>
      </c>
      <c r="E73">
        <f>MIN(E68:E70)</f>
        <v>0</v>
      </c>
      <c r="F73">
        <f t="shared" ref="F73:K73" si="47">MIN(F68:F70)</f>
        <v>0</v>
      </c>
      <c r="G73">
        <f t="shared" si="47"/>
        <v>0</v>
      </c>
      <c r="H73">
        <f t="shared" si="47"/>
        <v>0</v>
      </c>
      <c r="I73">
        <f t="shared" si="47"/>
        <v>0</v>
      </c>
      <c r="J73">
        <f t="shared" si="47"/>
        <v>0</v>
      </c>
      <c r="K73">
        <f t="shared" si="47"/>
        <v>0</v>
      </c>
    </row>
    <row r="74" spans="1:11" x14ac:dyDescent="0.25">
      <c r="A74" t="s">
        <v>393</v>
      </c>
      <c r="B74" s="4" t="s">
        <v>13</v>
      </c>
      <c r="C74" s="4" t="s">
        <v>5</v>
      </c>
      <c r="D74" s="4" t="s">
        <v>8</v>
      </c>
      <c r="I74">
        <f>SUM(E74:H74)</f>
        <v>0</v>
      </c>
    </row>
    <row r="75" spans="1:11" x14ac:dyDescent="0.25">
      <c r="A75" t="s">
        <v>394</v>
      </c>
      <c r="B75" s="4" t="s">
        <v>13</v>
      </c>
      <c r="C75" s="4" t="s">
        <v>5</v>
      </c>
      <c r="D75" s="4" t="s">
        <v>8</v>
      </c>
      <c r="I75">
        <f t="shared" ref="I75:I76" si="48">SUM(E75:H75)</f>
        <v>0</v>
      </c>
    </row>
    <row r="76" spans="1:11" x14ac:dyDescent="0.25">
      <c r="A76" t="s">
        <v>395</v>
      </c>
      <c r="B76" s="4" t="s">
        <v>13</v>
      </c>
      <c r="C76" s="4" t="s">
        <v>5</v>
      </c>
      <c r="D76" s="4" t="s">
        <v>8</v>
      </c>
      <c r="I76">
        <f t="shared" si="48"/>
        <v>0</v>
      </c>
    </row>
    <row r="77" spans="1:11" x14ac:dyDescent="0.25">
      <c r="A77" t="s">
        <v>396</v>
      </c>
      <c r="B77" s="4" t="s">
        <v>13</v>
      </c>
      <c r="C77" s="4" t="s">
        <v>5</v>
      </c>
      <c r="D77" s="4" t="s">
        <v>8</v>
      </c>
      <c r="E77">
        <f t="shared" ref="E77:J77" si="49">SUM(E74:E76)/3</f>
        <v>0</v>
      </c>
      <c r="F77">
        <f t="shared" si="49"/>
        <v>0</v>
      </c>
      <c r="G77">
        <f t="shared" si="49"/>
        <v>0</v>
      </c>
      <c r="H77">
        <f t="shared" si="49"/>
        <v>0</v>
      </c>
      <c r="I77">
        <f t="shared" si="49"/>
        <v>0</v>
      </c>
      <c r="J77">
        <f t="shared" si="49"/>
        <v>0</v>
      </c>
      <c r="K77">
        <f>SUM(K74:K76)/3</f>
        <v>0</v>
      </c>
    </row>
    <row r="78" spans="1:11" x14ac:dyDescent="0.25">
      <c r="A78" t="s">
        <v>397</v>
      </c>
      <c r="B78" s="4" t="s">
        <v>13</v>
      </c>
      <c r="C78" s="4" t="s">
        <v>5</v>
      </c>
      <c r="D78" s="4" t="s">
        <v>8</v>
      </c>
      <c r="E78">
        <f>MAX(E74:E76)</f>
        <v>0</v>
      </c>
      <c r="F78">
        <f t="shared" ref="F78:K78" si="50">MAX(F74:F76)</f>
        <v>0</v>
      </c>
      <c r="G78">
        <f t="shared" si="50"/>
        <v>0</v>
      </c>
      <c r="H78">
        <f t="shared" si="50"/>
        <v>0</v>
      </c>
      <c r="I78">
        <f t="shared" si="50"/>
        <v>0</v>
      </c>
      <c r="J78">
        <f t="shared" si="50"/>
        <v>0</v>
      </c>
      <c r="K78">
        <f t="shared" si="50"/>
        <v>0</v>
      </c>
    </row>
    <row r="79" spans="1:11" x14ac:dyDescent="0.25">
      <c r="A79" t="s">
        <v>398</v>
      </c>
      <c r="B79" s="4" t="s">
        <v>13</v>
      </c>
      <c r="C79" s="4" t="s">
        <v>5</v>
      </c>
      <c r="D79" s="4" t="s">
        <v>8</v>
      </c>
      <c r="E79">
        <f>MIN(E74:E76)</f>
        <v>0</v>
      </c>
      <c r="F79">
        <f t="shared" ref="F79:K79" si="51">MIN(F74:F76)</f>
        <v>0</v>
      </c>
      <c r="G79">
        <f t="shared" si="51"/>
        <v>0</v>
      </c>
      <c r="H79">
        <f t="shared" si="51"/>
        <v>0</v>
      </c>
      <c r="I79">
        <f t="shared" si="51"/>
        <v>0</v>
      </c>
      <c r="J79">
        <f t="shared" si="51"/>
        <v>0</v>
      </c>
      <c r="K79">
        <f t="shared" si="51"/>
        <v>0</v>
      </c>
    </row>
    <row r="80" spans="1:11" x14ac:dyDescent="0.25">
      <c r="A80" t="s">
        <v>369</v>
      </c>
      <c r="B80" s="4" t="s">
        <v>13</v>
      </c>
      <c r="C80" s="4" t="s">
        <v>9</v>
      </c>
      <c r="D80" s="4" t="s">
        <v>12</v>
      </c>
      <c r="I80">
        <f>SUM(E80:H80)</f>
        <v>0</v>
      </c>
    </row>
    <row r="81" spans="1:11" x14ac:dyDescent="0.25">
      <c r="A81" t="s">
        <v>370</v>
      </c>
      <c r="B81" s="4" t="s">
        <v>13</v>
      </c>
      <c r="C81" s="4" t="s">
        <v>9</v>
      </c>
      <c r="D81" s="4" t="s">
        <v>12</v>
      </c>
      <c r="I81">
        <f t="shared" ref="I81:I82" si="52">SUM(E81:H81)</f>
        <v>0</v>
      </c>
    </row>
    <row r="82" spans="1:11" x14ac:dyDescent="0.25">
      <c r="A82" t="s">
        <v>371</v>
      </c>
      <c r="B82" s="4" t="s">
        <v>13</v>
      </c>
      <c r="C82" s="4" t="s">
        <v>9</v>
      </c>
      <c r="D82" s="4" t="s">
        <v>12</v>
      </c>
      <c r="I82">
        <f t="shared" si="52"/>
        <v>0</v>
      </c>
    </row>
    <row r="83" spans="1:11" x14ac:dyDescent="0.25">
      <c r="A83" t="s">
        <v>372</v>
      </c>
      <c r="B83" s="4" t="s">
        <v>13</v>
      </c>
      <c r="C83" s="4" t="s">
        <v>9</v>
      </c>
      <c r="D83" s="4" t="s">
        <v>12</v>
      </c>
      <c r="E83">
        <f t="shared" ref="E83:J83" si="53">SUM(E80:E82)/3</f>
        <v>0</v>
      </c>
      <c r="F83">
        <f t="shared" si="53"/>
        <v>0</v>
      </c>
      <c r="G83">
        <f t="shared" si="53"/>
        <v>0</v>
      </c>
      <c r="H83">
        <f t="shared" si="53"/>
        <v>0</v>
      </c>
      <c r="I83">
        <f t="shared" si="53"/>
        <v>0</v>
      </c>
      <c r="J83">
        <f t="shared" si="53"/>
        <v>0</v>
      </c>
      <c r="K83">
        <f>SUM(K80:K82)/3</f>
        <v>0</v>
      </c>
    </row>
    <row r="84" spans="1:11" x14ac:dyDescent="0.25">
      <c r="A84" t="s">
        <v>373</v>
      </c>
      <c r="B84" s="4" t="s">
        <v>13</v>
      </c>
      <c r="C84" s="4" t="s">
        <v>9</v>
      </c>
      <c r="D84" s="4" t="s">
        <v>12</v>
      </c>
      <c r="E84">
        <f>MAX(E80:E82)</f>
        <v>0</v>
      </c>
      <c r="F84">
        <f t="shared" ref="F84:K84" si="54">MAX(F80:F82)</f>
        <v>0</v>
      </c>
      <c r="G84">
        <f t="shared" si="54"/>
        <v>0</v>
      </c>
      <c r="H84">
        <f t="shared" si="54"/>
        <v>0</v>
      </c>
      <c r="I84">
        <f t="shared" si="54"/>
        <v>0</v>
      </c>
      <c r="J84">
        <f t="shared" si="54"/>
        <v>0</v>
      </c>
      <c r="K84">
        <f t="shared" si="54"/>
        <v>0</v>
      </c>
    </row>
    <row r="85" spans="1:11" x14ac:dyDescent="0.25">
      <c r="A85" t="s">
        <v>374</v>
      </c>
      <c r="B85" s="4" t="s">
        <v>13</v>
      </c>
      <c r="C85" s="4" t="s">
        <v>9</v>
      </c>
      <c r="D85" s="4" t="s">
        <v>12</v>
      </c>
      <c r="E85">
        <f>MIN(E80:E82)</f>
        <v>0</v>
      </c>
      <c r="F85">
        <f t="shared" ref="F85:K85" si="55">MIN(F80:F82)</f>
        <v>0</v>
      </c>
      <c r="G85">
        <f t="shared" si="55"/>
        <v>0</v>
      </c>
      <c r="H85">
        <f t="shared" si="55"/>
        <v>0</v>
      </c>
      <c r="I85">
        <f t="shared" si="55"/>
        <v>0</v>
      </c>
      <c r="J85">
        <f t="shared" si="55"/>
        <v>0</v>
      </c>
      <c r="K85">
        <f t="shared" si="55"/>
        <v>0</v>
      </c>
    </row>
    <row r="86" spans="1:11" x14ac:dyDescent="0.25">
      <c r="A86" t="s">
        <v>399</v>
      </c>
      <c r="B86" s="4" t="s">
        <v>13</v>
      </c>
      <c r="C86" s="4" t="s">
        <v>5</v>
      </c>
      <c r="D86" s="4" t="s">
        <v>14</v>
      </c>
      <c r="I86">
        <f>SUM(E86:H86)</f>
        <v>0</v>
      </c>
    </row>
    <row r="87" spans="1:11" x14ac:dyDescent="0.25">
      <c r="A87" t="s">
        <v>400</v>
      </c>
      <c r="B87" s="4" t="s">
        <v>13</v>
      </c>
      <c r="C87" s="4" t="s">
        <v>5</v>
      </c>
      <c r="D87" s="4" t="s">
        <v>14</v>
      </c>
      <c r="I87">
        <f t="shared" ref="I87:I88" si="56">SUM(E87:H87)</f>
        <v>0</v>
      </c>
    </row>
    <row r="88" spans="1:11" x14ac:dyDescent="0.25">
      <c r="A88" t="s">
        <v>401</v>
      </c>
      <c r="B88" s="4" t="s">
        <v>13</v>
      </c>
      <c r="C88" s="4" t="s">
        <v>5</v>
      </c>
      <c r="D88" s="4" t="s">
        <v>14</v>
      </c>
      <c r="I88">
        <f t="shared" si="56"/>
        <v>0</v>
      </c>
    </row>
    <row r="89" spans="1:11" x14ac:dyDescent="0.25">
      <c r="A89" t="s">
        <v>402</v>
      </c>
      <c r="B89" s="4" t="s">
        <v>13</v>
      </c>
      <c r="C89" s="4" t="s">
        <v>5</v>
      </c>
      <c r="D89" s="4" t="s">
        <v>14</v>
      </c>
      <c r="E89">
        <f t="shared" ref="E89:J89" si="57">SUM(E86:E88)/3</f>
        <v>0</v>
      </c>
      <c r="F89">
        <f t="shared" si="57"/>
        <v>0</v>
      </c>
      <c r="G89">
        <f t="shared" si="57"/>
        <v>0</v>
      </c>
      <c r="H89">
        <f t="shared" si="57"/>
        <v>0</v>
      </c>
      <c r="I89">
        <f t="shared" si="57"/>
        <v>0</v>
      </c>
      <c r="J89">
        <f t="shared" si="57"/>
        <v>0</v>
      </c>
      <c r="K89">
        <f>SUM(K86:K88)/3</f>
        <v>0</v>
      </c>
    </row>
    <row r="90" spans="1:11" x14ac:dyDescent="0.25">
      <c r="A90" t="s">
        <v>403</v>
      </c>
      <c r="B90" s="4" t="s">
        <v>13</v>
      </c>
      <c r="C90" s="4" t="s">
        <v>5</v>
      </c>
      <c r="D90" s="4" t="s">
        <v>14</v>
      </c>
      <c r="E90">
        <f>MAX(E86:E88)</f>
        <v>0</v>
      </c>
      <c r="F90">
        <f t="shared" ref="F90:K90" si="58">MAX(F86:F88)</f>
        <v>0</v>
      </c>
      <c r="G90">
        <f t="shared" si="58"/>
        <v>0</v>
      </c>
      <c r="H90">
        <f t="shared" si="58"/>
        <v>0</v>
      </c>
      <c r="I90">
        <f t="shared" si="58"/>
        <v>0</v>
      </c>
      <c r="J90">
        <f t="shared" si="58"/>
        <v>0</v>
      </c>
      <c r="K90">
        <f t="shared" si="58"/>
        <v>0</v>
      </c>
    </row>
    <row r="91" spans="1:11" x14ac:dyDescent="0.25">
      <c r="A91" t="s">
        <v>404</v>
      </c>
      <c r="B91" s="4" t="s">
        <v>13</v>
      </c>
      <c r="C91" s="4" t="s">
        <v>5</v>
      </c>
      <c r="D91" s="4" t="s">
        <v>14</v>
      </c>
      <c r="E91">
        <f>MIN(E86:E88)</f>
        <v>0</v>
      </c>
      <c r="F91">
        <f t="shared" ref="F91:K91" si="59">MIN(F86:F88)</f>
        <v>0</v>
      </c>
      <c r="G91">
        <f t="shared" si="59"/>
        <v>0</v>
      </c>
      <c r="H91">
        <f t="shared" si="59"/>
        <v>0</v>
      </c>
      <c r="I91">
        <f t="shared" si="59"/>
        <v>0</v>
      </c>
      <c r="J91">
        <f t="shared" si="59"/>
        <v>0</v>
      </c>
      <c r="K91">
        <f t="shared" si="59"/>
        <v>0</v>
      </c>
    </row>
    <row r="92" spans="1:11" x14ac:dyDescent="0.25">
      <c r="A92" t="s">
        <v>375</v>
      </c>
      <c r="B92" s="4" t="s">
        <v>13</v>
      </c>
      <c r="C92" s="4" t="s">
        <v>9</v>
      </c>
      <c r="D92" s="4" t="s">
        <v>15</v>
      </c>
      <c r="I92">
        <f>SUM(E92:H92)</f>
        <v>0</v>
      </c>
    </row>
    <row r="93" spans="1:11" x14ac:dyDescent="0.25">
      <c r="A93" t="s">
        <v>376</v>
      </c>
      <c r="B93" s="4" t="s">
        <v>13</v>
      </c>
      <c r="C93" s="4" t="s">
        <v>9</v>
      </c>
      <c r="D93" s="4" t="s">
        <v>15</v>
      </c>
      <c r="I93">
        <f t="shared" ref="I93:I94" si="60">SUM(E93:H93)</f>
        <v>0</v>
      </c>
    </row>
    <row r="94" spans="1:11" x14ac:dyDescent="0.25">
      <c r="A94" t="s">
        <v>377</v>
      </c>
      <c r="B94" s="4" t="s">
        <v>13</v>
      </c>
      <c r="C94" s="4" t="s">
        <v>9</v>
      </c>
      <c r="D94" s="4" t="s">
        <v>15</v>
      </c>
      <c r="I94">
        <f t="shared" si="60"/>
        <v>0</v>
      </c>
    </row>
    <row r="95" spans="1:11" x14ac:dyDescent="0.25">
      <c r="A95" t="s">
        <v>378</v>
      </c>
      <c r="B95" s="4" t="s">
        <v>13</v>
      </c>
      <c r="C95" s="4" t="s">
        <v>9</v>
      </c>
      <c r="D95" s="4" t="s">
        <v>15</v>
      </c>
      <c r="E95">
        <f t="shared" ref="E95:J95" si="61">SUM(E92:E94)/3</f>
        <v>0</v>
      </c>
      <c r="F95">
        <f t="shared" si="61"/>
        <v>0</v>
      </c>
      <c r="G95">
        <f t="shared" si="61"/>
        <v>0</v>
      </c>
      <c r="H95">
        <f t="shared" si="61"/>
        <v>0</v>
      </c>
      <c r="I95">
        <f t="shared" si="61"/>
        <v>0</v>
      </c>
      <c r="J95">
        <f t="shared" si="61"/>
        <v>0</v>
      </c>
      <c r="K95">
        <f>SUM(K92:K94)/3</f>
        <v>0</v>
      </c>
    </row>
    <row r="96" spans="1:11" x14ac:dyDescent="0.25">
      <c r="A96" t="s">
        <v>379</v>
      </c>
      <c r="B96" s="4" t="s">
        <v>13</v>
      </c>
      <c r="C96" s="4" t="s">
        <v>9</v>
      </c>
      <c r="D96" s="4" t="s">
        <v>15</v>
      </c>
      <c r="E96">
        <f>MAX(E92:E94)</f>
        <v>0</v>
      </c>
      <c r="F96">
        <f t="shared" ref="F96:K96" si="62">MAX(F92:F94)</f>
        <v>0</v>
      </c>
      <c r="G96">
        <f t="shared" si="62"/>
        <v>0</v>
      </c>
      <c r="H96">
        <f t="shared" si="62"/>
        <v>0</v>
      </c>
      <c r="I96">
        <f t="shared" si="62"/>
        <v>0</v>
      </c>
      <c r="J96">
        <f t="shared" si="62"/>
        <v>0</v>
      </c>
      <c r="K96">
        <f t="shared" si="62"/>
        <v>0</v>
      </c>
    </row>
    <row r="97" spans="1:11" x14ac:dyDescent="0.25">
      <c r="A97" t="s">
        <v>380</v>
      </c>
      <c r="B97" s="4" t="s">
        <v>13</v>
      </c>
      <c r="C97" s="4" t="s">
        <v>9</v>
      </c>
      <c r="D97" s="4" t="s">
        <v>15</v>
      </c>
      <c r="E97">
        <f>MIN(E92:E94)</f>
        <v>0</v>
      </c>
      <c r="F97">
        <f t="shared" ref="F97:K97" si="63">MIN(F92:F94)</f>
        <v>0</v>
      </c>
      <c r="G97">
        <f t="shared" si="63"/>
        <v>0</v>
      </c>
      <c r="H97">
        <f t="shared" si="63"/>
        <v>0</v>
      </c>
      <c r="I97">
        <f t="shared" si="63"/>
        <v>0</v>
      </c>
      <c r="J97">
        <f t="shared" si="63"/>
        <v>0</v>
      </c>
      <c r="K97">
        <f t="shared" si="63"/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ABFC-7E2F-41AF-874E-F6FC01BC7AE6}">
  <dimension ref="A1:G73"/>
  <sheetViews>
    <sheetView tabSelected="1" topLeftCell="A75" workbookViewId="0">
      <selection activeCell="E75" sqref="E75"/>
    </sheetView>
  </sheetViews>
  <sheetFormatPr baseColWidth="10" defaultRowHeight="14.25" x14ac:dyDescent="0.2"/>
  <cols>
    <col min="1" max="1" width="11.42578125" style="4"/>
    <col min="2" max="2" width="15.140625" style="4" bestFit="1" customWidth="1"/>
    <col min="3" max="4" width="11.42578125" style="4"/>
    <col min="5" max="7" width="11.42578125" style="6"/>
    <col min="8" max="16384" width="11.42578125" style="4"/>
  </cols>
  <sheetData>
    <row r="1" spans="1:7" s="2" customFormat="1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22</v>
      </c>
      <c r="F1" s="3" t="s">
        <v>2</v>
      </c>
      <c r="G1" s="3" t="s">
        <v>23</v>
      </c>
    </row>
    <row r="2" spans="1:7" x14ac:dyDescent="0.2">
      <c r="A2" s="4" t="s">
        <v>405</v>
      </c>
      <c r="B2" s="4" t="s">
        <v>406</v>
      </c>
      <c r="C2" s="4" t="s">
        <v>5</v>
      </c>
      <c r="D2" s="4" t="s">
        <v>6</v>
      </c>
      <c r="E2" s="6">
        <v>29.151</v>
      </c>
    </row>
    <row r="3" spans="1:7" x14ac:dyDescent="0.2">
      <c r="A3" s="4" t="s">
        <v>407</v>
      </c>
      <c r="B3" s="4" t="s">
        <v>406</v>
      </c>
      <c r="C3" s="4" t="s">
        <v>5</v>
      </c>
      <c r="D3" s="4" t="s">
        <v>6</v>
      </c>
      <c r="E3" s="6">
        <v>31.129000000000001</v>
      </c>
    </row>
    <row r="4" spans="1:7" x14ac:dyDescent="0.2">
      <c r="A4" s="4" t="s">
        <v>408</v>
      </c>
      <c r="B4" s="4" t="s">
        <v>406</v>
      </c>
      <c r="C4" s="4" t="s">
        <v>5</v>
      </c>
      <c r="D4" s="4" t="s">
        <v>6</v>
      </c>
      <c r="E4" s="6">
        <v>35.856000000000002</v>
      </c>
    </row>
    <row r="5" spans="1:7" x14ac:dyDescent="0.2">
      <c r="A5" s="4" t="s">
        <v>409</v>
      </c>
      <c r="B5" s="4" t="s">
        <v>406</v>
      </c>
      <c r="C5" s="4" t="s">
        <v>5</v>
      </c>
      <c r="D5" s="4" t="s">
        <v>6</v>
      </c>
      <c r="E5" s="6">
        <f>SUM(E2:E4)/3</f>
        <v>32.045333333333332</v>
      </c>
      <c r="F5" s="6">
        <f t="shared" ref="F5:G5" si="0">SUM(F2:F4)/3</f>
        <v>0</v>
      </c>
      <c r="G5" s="6">
        <f t="shared" si="0"/>
        <v>0</v>
      </c>
    </row>
    <row r="6" spans="1:7" x14ac:dyDescent="0.2">
      <c r="A6" s="4" t="s">
        <v>410</v>
      </c>
      <c r="B6" s="4" t="s">
        <v>406</v>
      </c>
      <c r="C6" s="4" t="s">
        <v>5</v>
      </c>
      <c r="D6" s="4" t="s">
        <v>6</v>
      </c>
      <c r="E6" s="6">
        <f>MAX(E2:E4)</f>
        <v>35.856000000000002</v>
      </c>
      <c r="F6" s="6">
        <f t="shared" ref="F6:G6" si="1">MAX(F2:F4)</f>
        <v>0</v>
      </c>
      <c r="G6" s="6">
        <f t="shared" si="1"/>
        <v>0</v>
      </c>
    </row>
    <row r="7" spans="1:7" x14ac:dyDescent="0.2">
      <c r="A7" s="4" t="s">
        <v>411</v>
      </c>
      <c r="B7" s="4" t="s">
        <v>406</v>
      </c>
      <c r="C7" s="4" t="s">
        <v>5</v>
      </c>
      <c r="D7" s="4" t="s">
        <v>6</v>
      </c>
      <c r="E7" s="6">
        <f>MIN(E2:E4)</f>
        <v>29.151</v>
      </c>
      <c r="F7" s="6">
        <f t="shared" ref="F7:G7" si="2">MIN(F2:F4)</f>
        <v>0</v>
      </c>
      <c r="G7" s="6">
        <f t="shared" si="2"/>
        <v>0</v>
      </c>
    </row>
    <row r="8" spans="1:7" x14ac:dyDescent="0.2">
      <c r="A8" s="4" t="s">
        <v>412</v>
      </c>
      <c r="B8" s="4" t="s">
        <v>406</v>
      </c>
      <c r="C8" s="4" t="s">
        <v>5</v>
      </c>
      <c r="D8" s="4" t="s">
        <v>7</v>
      </c>
      <c r="E8" s="6">
        <v>36.792999999999999</v>
      </c>
    </row>
    <row r="9" spans="1:7" x14ac:dyDescent="0.2">
      <c r="A9" s="4" t="s">
        <v>413</v>
      </c>
      <c r="B9" s="4" t="s">
        <v>406</v>
      </c>
      <c r="C9" s="4" t="s">
        <v>5</v>
      </c>
      <c r="D9" s="4" t="s">
        <v>7</v>
      </c>
      <c r="E9" s="6">
        <v>31.082000000000001</v>
      </c>
    </row>
    <row r="10" spans="1:7" x14ac:dyDescent="0.2">
      <c r="A10" s="4" t="s">
        <v>414</v>
      </c>
      <c r="B10" s="4" t="s">
        <v>406</v>
      </c>
      <c r="C10" s="4" t="s">
        <v>5</v>
      </c>
      <c r="D10" s="4" t="s">
        <v>7</v>
      </c>
      <c r="E10" s="6">
        <v>33.872</v>
      </c>
    </row>
    <row r="11" spans="1:7" x14ac:dyDescent="0.2">
      <c r="A11" s="4" t="s">
        <v>415</v>
      </c>
      <c r="B11" s="4" t="s">
        <v>406</v>
      </c>
      <c r="C11" s="4" t="s">
        <v>5</v>
      </c>
      <c r="D11" s="4" t="s">
        <v>7</v>
      </c>
      <c r="E11" s="6">
        <f>SUM(E8:E10)/3</f>
        <v>33.915666666666667</v>
      </c>
      <c r="F11" s="6">
        <f t="shared" ref="F11:G11" si="3">SUM(F8:F10)/3</f>
        <v>0</v>
      </c>
      <c r="G11" s="6">
        <f t="shared" si="3"/>
        <v>0</v>
      </c>
    </row>
    <row r="12" spans="1:7" x14ac:dyDescent="0.2">
      <c r="A12" s="4" t="s">
        <v>416</v>
      </c>
      <c r="B12" s="4" t="s">
        <v>406</v>
      </c>
      <c r="C12" s="4" t="s">
        <v>5</v>
      </c>
      <c r="D12" s="4" t="s">
        <v>7</v>
      </c>
      <c r="E12" s="6">
        <f>MAX(E8:E10)</f>
        <v>36.792999999999999</v>
      </c>
      <c r="F12" s="6">
        <f t="shared" ref="F12:G12" si="4">MAX(F8:F10)</f>
        <v>0</v>
      </c>
      <c r="G12" s="6">
        <f t="shared" si="4"/>
        <v>0</v>
      </c>
    </row>
    <row r="13" spans="1:7" x14ac:dyDescent="0.2">
      <c r="A13" s="4" t="s">
        <v>417</v>
      </c>
      <c r="B13" s="4" t="s">
        <v>406</v>
      </c>
      <c r="C13" s="4" t="s">
        <v>5</v>
      </c>
      <c r="D13" s="4" t="s">
        <v>7</v>
      </c>
      <c r="E13" s="6">
        <f>MIN(E8:E10)</f>
        <v>31.082000000000001</v>
      </c>
      <c r="F13" s="6">
        <f t="shared" ref="F13:G13" si="5">MIN(F8:F10)</f>
        <v>0</v>
      </c>
      <c r="G13" s="6">
        <f t="shared" si="5"/>
        <v>0</v>
      </c>
    </row>
    <row r="14" spans="1:7" x14ac:dyDescent="0.2">
      <c r="A14" s="4" t="s">
        <v>418</v>
      </c>
      <c r="B14" s="4" t="s">
        <v>406</v>
      </c>
      <c r="C14" s="4" t="s">
        <v>5</v>
      </c>
      <c r="D14" s="4" t="s">
        <v>8</v>
      </c>
      <c r="E14" s="6">
        <v>31.594000000000001</v>
      </c>
    </row>
    <row r="15" spans="1:7" x14ac:dyDescent="0.2">
      <c r="A15" s="4" t="s">
        <v>419</v>
      </c>
      <c r="B15" s="4" t="s">
        <v>406</v>
      </c>
      <c r="C15" s="4" t="s">
        <v>5</v>
      </c>
      <c r="D15" s="4" t="s">
        <v>8</v>
      </c>
      <c r="E15" s="6">
        <v>35.460999999999999</v>
      </c>
    </row>
    <row r="16" spans="1:7" x14ac:dyDescent="0.2">
      <c r="A16" s="4" t="s">
        <v>420</v>
      </c>
      <c r="B16" s="4" t="s">
        <v>406</v>
      </c>
      <c r="C16" s="4" t="s">
        <v>5</v>
      </c>
      <c r="D16" s="4" t="s">
        <v>8</v>
      </c>
      <c r="E16" s="6">
        <v>32.463999999999999</v>
      </c>
    </row>
    <row r="17" spans="1:7" x14ac:dyDescent="0.2">
      <c r="A17" s="4" t="s">
        <v>421</v>
      </c>
      <c r="B17" s="4" t="s">
        <v>406</v>
      </c>
      <c r="C17" s="4" t="s">
        <v>5</v>
      </c>
      <c r="D17" s="4" t="s">
        <v>8</v>
      </c>
      <c r="E17" s="6">
        <f>SUM(E14:E16)/3</f>
        <v>33.173000000000002</v>
      </c>
      <c r="F17" s="6">
        <f t="shared" ref="F17:G17" si="6">SUM(F14:F16)/3</f>
        <v>0</v>
      </c>
      <c r="G17" s="6">
        <f t="shared" si="6"/>
        <v>0</v>
      </c>
    </row>
    <row r="18" spans="1:7" x14ac:dyDescent="0.2">
      <c r="A18" s="4" t="s">
        <v>422</v>
      </c>
      <c r="B18" s="4" t="s">
        <v>406</v>
      </c>
      <c r="C18" s="4" t="s">
        <v>5</v>
      </c>
      <c r="D18" s="4" t="s">
        <v>8</v>
      </c>
      <c r="E18" s="6">
        <f>MAX(E14:E16)</f>
        <v>35.460999999999999</v>
      </c>
      <c r="F18" s="6">
        <f t="shared" ref="F18:G18" si="7">MAX(F14:F16)</f>
        <v>0</v>
      </c>
      <c r="G18" s="6">
        <f t="shared" si="7"/>
        <v>0</v>
      </c>
    </row>
    <row r="19" spans="1:7" x14ac:dyDescent="0.2">
      <c r="A19" s="4" t="s">
        <v>423</v>
      </c>
      <c r="B19" s="4" t="s">
        <v>406</v>
      </c>
      <c r="C19" s="4" t="s">
        <v>5</v>
      </c>
      <c r="D19" s="4" t="s">
        <v>8</v>
      </c>
      <c r="E19" s="6">
        <f>MIN(E14:E16)</f>
        <v>31.594000000000001</v>
      </c>
      <c r="F19" s="6">
        <f t="shared" ref="F19:G19" si="8">MIN(F14:F16)</f>
        <v>0</v>
      </c>
      <c r="G19" s="6">
        <f t="shared" si="8"/>
        <v>0</v>
      </c>
    </row>
    <row r="20" spans="1:7" x14ac:dyDescent="0.2">
      <c r="A20" s="4" t="s">
        <v>424</v>
      </c>
      <c r="B20" s="4" t="s">
        <v>406</v>
      </c>
      <c r="C20" s="4" t="s">
        <v>5</v>
      </c>
      <c r="D20" s="4" t="s">
        <v>14</v>
      </c>
      <c r="E20" s="6">
        <v>36.936</v>
      </c>
    </row>
    <row r="21" spans="1:7" x14ac:dyDescent="0.2">
      <c r="A21" s="4" t="s">
        <v>425</v>
      </c>
      <c r="B21" s="4" t="s">
        <v>406</v>
      </c>
      <c r="C21" s="4" t="s">
        <v>5</v>
      </c>
      <c r="D21" s="4" t="s">
        <v>14</v>
      </c>
      <c r="E21" s="6">
        <v>31.812000000000001</v>
      </c>
    </row>
    <row r="22" spans="1:7" x14ac:dyDescent="0.2">
      <c r="A22" s="4" t="s">
        <v>426</v>
      </c>
      <c r="B22" s="4" t="s">
        <v>406</v>
      </c>
      <c r="C22" s="4" t="s">
        <v>5</v>
      </c>
      <c r="D22" s="4" t="s">
        <v>14</v>
      </c>
      <c r="E22" s="6">
        <v>31.957999999999998</v>
      </c>
    </row>
    <row r="23" spans="1:7" x14ac:dyDescent="0.2">
      <c r="A23" s="4" t="s">
        <v>427</v>
      </c>
      <c r="B23" s="4" t="s">
        <v>406</v>
      </c>
      <c r="C23" s="4" t="s">
        <v>5</v>
      </c>
      <c r="D23" s="4" t="s">
        <v>14</v>
      </c>
      <c r="E23" s="6">
        <f>SUM(E20:E22)/3</f>
        <v>33.568666666666665</v>
      </c>
      <c r="F23" s="6">
        <f t="shared" ref="F23:G23" si="9">SUM(F20:F22)/3</f>
        <v>0</v>
      </c>
      <c r="G23" s="6">
        <f t="shared" si="9"/>
        <v>0</v>
      </c>
    </row>
    <row r="24" spans="1:7" x14ac:dyDescent="0.2">
      <c r="A24" s="4" t="s">
        <v>428</v>
      </c>
      <c r="B24" s="4" t="s">
        <v>406</v>
      </c>
      <c r="C24" s="4" t="s">
        <v>5</v>
      </c>
      <c r="D24" s="4" t="s">
        <v>14</v>
      </c>
      <c r="E24" s="6">
        <f>MAX(E20:E22)</f>
        <v>36.936</v>
      </c>
      <c r="F24" s="6">
        <f t="shared" ref="F24:G24" si="10">MAX(F20:F22)</f>
        <v>0</v>
      </c>
      <c r="G24" s="6">
        <f t="shared" si="10"/>
        <v>0</v>
      </c>
    </row>
    <row r="25" spans="1:7" x14ac:dyDescent="0.2">
      <c r="A25" s="4" t="s">
        <v>429</v>
      </c>
      <c r="B25" s="4" t="s">
        <v>406</v>
      </c>
      <c r="C25" s="4" t="s">
        <v>5</v>
      </c>
      <c r="D25" s="4" t="s">
        <v>14</v>
      </c>
      <c r="E25" s="6">
        <f>MIN(E20:E22)</f>
        <v>31.812000000000001</v>
      </c>
      <c r="F25" s="6">
        <f t="shared" ref="F25:G25" si="11">MIN(F20:F22)</f>
        <v>0</v>
      </c>
      <c r="G25" s="6">
        <f t="shared" si="11"/>
        <v>0</v>
      </c>
    </row>
    <row r="26" spans="1:7" x14ac:dyDescent="0.2">
      <c r="A26" s="4" t="s">
        <v>431</v>
      </c>
      <c r="B26" s="4" t="s">
        <v>430</v>
      </c>
      <c r="C26" s="4" t="s">
        <v>5</v>
      </c>
      <c r="D26" s="4" t="s">
        <v>6</v>
      </c>
      <c r="E26" s="6">
        <v>51.719000000000001</v>
      </c>
    </row>
    <row r="27" spans="1:7" x14ac:dyDescent="0.2">
      <c r="A27" s="4" t="s">
        <v>432</v>
      </c>
      <c r="B27" s="4" t="s">
        <v>430</v>
      </c>
      <c r="C27" s="4" t="s">
        <v>5</v>
      </c>
      <c r="D27" s="4" t="s">
        <v>6</v>
      </c>
      <c r="E27" s="6">
        <v>51.491999999999997</v>
      </c>
    </row>
    <row r="28" spans="1:7" x14ac:dyDescent="0.2">
      <c r="A28" s="4" t="s">
        <v>433</v>
      </c>
      <c r="B28" s="4" t="s">
        <v>430</v>
      </c>
      <c r="C28" s="4" t="s">
        <v>5</v>
      </c>
      <c r="D28" s="4" t="s">
        <v>6</v>
      </c>
      <c r="E28" s="6">
        <v>51.517000000000003</v>
      </c>
    </row>
    <row r="29" spans="1:7" x14ac:dyDescent="0.2">
      <c r="A29" s="4" t="s">
        <v>434</v>
      </c>
      <c r="B29" s="4" t="s">
        <v>430</v>
      </c>
      <c r="C29" s="4" t="s">
        <v>5</v>
      </c>
      <c r="D29" s="4" t="s">
        <v>6</v>
      </c>
      <c r="E29" s="6">
        <f>SUM(E26:E28)/3</f>
        <v>51.576000000000001</v>
      </c>
      <c r="F29" s="6">
        <f t="shared" ref="F29" si="12">SUM(F26:F28)/3</f>
        <v>0</v>
      </c>
      <c r="G29" s="6">
        <f t="shared" ref="G29" si="13">SUM(G26:G28)/3</f>
        <v>0</v>
      </c>
    </row>
    <row r="30" spans="1:7" x14ac:dyDescent="0.2">
      <c r="A30" s="4" t="s">
        <v>435</v>
      </c>
      <c r="B30" s="4" t="s">
        <v>430</v>
      </c>
      <c r="C30" s="4" t="s">
        <v>5</v>
      </c>
      <c r="D30" s="4" t="s">
        <v>6</v>
      </c>
      <c r="E30" s="6">
        <f>MAX(E26:E28)</f>
        <v>51.719000000000001</v>
      </c>
      <c r="F30" s="6">
        <f t="shared" ref="F30:G30" si="14">MAX(F26:F28)</f>
        <v>0</v>
      </c>
      <c r="G30" s="6">
        <f t="shared" si="14"/>
        <v>0</v>
      </c>
    </row>
    <row r="31" spans="1:7" x14ac:dyDescent="0.2">
      <c r="A31" s="4" t="s">
        <v>436</v>
      </c>
      <c r="B31" s="4" t="s">
        <v>430</v>
      </c>
      <c r="C31" s="4" t="s">
        <v>5</v>
      </c>
      <c r="D31" s="4" t="s">
        <v>6</v>
      </c>
      <c r="E31" s="6">
        <f>MIN(E26:E28)</f>
        <v>51.491999999999997</v>
      </c>
      <c r="F31" s="6">
        <f t="shared" ref="F31:G31" si="15">MIN(F26:F28)</f>
        <v>0</v>
      </c>
      <c r="G31" s="6">
        <f t="shared" si="15"/>
        <v>0</v>
      </c>
    </row>
    <row r="32" spans="1:7" x14ac:dyDescent="0.2">
      <c r="A32" s="4" t="s">
        <v>437</v>
      </c>
      <c r="B32" s="4" t="s">
        <v>430</v>
      </c>
      <c r="C32" s="4" t="s">
        <v>5</v>
      </c>
      <c r="D32" s="4" t="s">
        <v>7</v>
      </c>
      <c r="E32" s="6">
        <v>57.417999999999999</v>
      </c>
    </row>
    <row r="33" spans="1:7" x14ac:dyDescent="0.2">
      <c r="A33" s="4" t="s">
        <v>438</v>
      </c>
      <c r="B33" s="4" t="s">
        <v>430</v>
      </c>
      <c r="C33" s="4" t="s">
        <v>5</v>
      </c>
      <c r="D33" s="4" t="s">
        <v>7</v>
      </c>
      <c r="E33" s="6">
        <v>56.201999999999998</v>
      </c>
    </row>
    <row r="34" spans="1:7" x14ac:dyDescent="0.2">
      <c r="A34" s="4" t="s">
        <v>439</v>
      </c>
      <c r="B34" s="4" t="s">
        <v>430</v>
      </c>
      <c r="C34" s="4" t="s">
        <v>5</v>
      </c>
      <c r="D34" s="4" t="s">
        <v>7</v>
      </c>
      <c r="E34" s="6">
        <v>58.9</v>
      </c>
    </row>
    <row r="35" spans="1:7" x14ac:dyDescent="0.2">
      <c r="A35" s="4" t="s">
        <v>440</v>
      </c>
      <c r="B35" s="4" t="s">
        <v>430</v>
      </c>
      <c r="C35" s="4" t="s">
        <v>5</v>
      </c>
      <c r="D35" s="4" t="s">
        <v>7</v>
      </c>
      <c r="E35" s="6">
        <f>SUM(E32:E34)/3</f>
        <v>57.506666666666668</v>
      </c>
      <c r="F35" s="6">
        <f t="shared" ref="F35" si="16">SUM(F32:F34)/3</f>
        <v>0</v>
      </c>
      <c r="G35" s="6">
        <f t="shared" ref="G35" si="17">SUM(G32:G34)/3</f>
        <v>0</v>
      </c>
    </row>
    <row r="36" spans="1:7" x14ac:dyDescent="0.2">
      <c r="A36" s="4" t="s">
        <v>441</v>
      </c>
      <c r="B36" s="4" t="s">
        <v>430</v>
      </c>
      <c r="C36" s="4" t="s">
        <v>5</v>
      </c>
      <c r="D36" s="4" t="s">
        <v>7</v>
      </c>
      <c r="E36" s="6">
        <f>MAX(E32:E34)</f>
        <v>58.9</v>
      </c>
      <c r="F36" s="6">
        <f t="shared" ref="F36:G36" si="18">MAX(F32:F34)</f>
        <v>0</v>
      </c>
      <c r="G36" s="6">
        <f t="shared" si="18"/>
        <v>0</v>
      </c>
    </row>
    <row r="37" spans="1:7" x14ac:dyDescent="0.2">
      <c r="A37" s="4" t="s">
        <v>442</v>
      </c>
      <c r="B37" s="4" t="s">
        <v>430</v>
      </c>
      <c r="C37" s="4" t="s">
        <v>5</v>
      </c>
      <c r="D37" s="4" t="s">
        <v>7</v>
      </c>
      <c r="E37" s="6">
        <f>MIN(E32:E34)</f>
        <v>56.201999999999998</v>
      </c>
      <c r="F37" s="6">
        <f t="shared" ref="F37:G37" si="19">MIN(F32:F34)</f>
        <v>0</v>
      </c>
      <c r="G37" s="6">
        <f t="shared" si="19"/>
        <v>0</v>
      </c>
    </row>
    <row r="38" spans="1:7" x14ac:dyDescent="0.2">
      <c r="A38" s="4" t="s">
        <v>443</v>
      </c>
      <c r="B38" s="4" t="s">
        <v>430</v>
      </c>
      <c r="C38" s="4" t="s">
        <v>5</v>
      </c>
      <c r="D38" s="4" t="s">
        <v>8</v>
      </c>
      <c r="E38" s="6">
        <v>60.076999999999998</v>
      </c>
    </row>
    <row r="39" spans="1:7" x14ac:dyDescent="0.2">
      <c r="A39" s="4" t="s">
        <v>444</v>
      </c>
      <c r="B39" s="4" t="s">
        <v>430</v>
      </c>
      <c r="C39" s="4" t="s">
        <v>5</v>
      </c>
      <c r="D39" s="4" t="s">
        <v>8</v>
      </c>
      <c r="E39" s="6">
        <v>55.622</v>
      </c>
    </row>
    <row r="40" spans="1:7" x14ac:dyDescent="0.2">
      <c r="A40" s="4" t="s">
        <v>445</v>
      </c>
      <c r="B40" s="4" t="s">
        <v>430</v>
      </c>
      <c r="C40" s="4" t="s">
        <v>5</v>
      </c>
      <c r="D40" s="4" t="s">
        <v>8</v>
      </c>
      <c r="E40" s="6">
        <v>52.783999999999999</v>
      </c>
    </row>
    <row r="41" spans="1:7" x14ac:dyDescent="0.2">
      <c r="A41" s="4" t="s">
        <v>446</v>
      </c>
      <c r="B41" s="4" t="s">
        <v>430</v>
      </c>
      <c r="C41" s="4" t="s">
        <v>5</v>
      </c>
      <c r="D41" s="4" t="s">
        <v>8</v>
      </c>
      <c r="E41" s="6">
        <f>SUM(E38:E40)/3</f>
        <v>56.161000000000001</v>
      </c>
      <c r="F41" s="6">
        <f t="shared" ref="F41" si="20">SUM(F38:F40)/3</f>
        <v>0</v>
      </c>
      <c r="G41" s="6">
        <f t="shared" ref="G41" si="21">SUM(G38:G40)/3</f>
        <v>0</v>
      </c>
    </row>
    <row r="42" spans="1:7" x14ac:dyDescent="0.2">
      <c r="A42" s="4" t="s">
        <v>447</v>
      </c>
      <c r="B42" s="4" t="s">
        <v>430</v>
      </c>
      <c r="C42" s="4" t="s">
        <v>5</v>
      </c>
      <c r="D42" s="4" t="s">
        <v>8</v>
      </c>
      <c r="E42" s="6">
        <f>MAX(E38:E40)</f>
        <v>60.076999999999998</v>
      </c>
      <c r="F42" s="6">
        <f t="shared" ref="F42:G42" si="22">MAX(F38:F40)</f>
        <v>0</v>
      </c>
      <c r="G42" s="6">
        <f t="shared" si="22"/>
        <v>0</v>
      </c>
    </row>
    <row r="43" spans="1:7" x14ac:dyDescent="0.2">
      <c r="A43" s="4" t="s">
        <v>448</v>
      </c>
      <c r="B43" s="4" t="s">
        <v>430</v>
      </c>
      <c r="C43" s="4" t="s">
        <v>5</v>
      </c>
      <c r="D43" s="4" t="s">
        <v>8</v>
      </c>
      <c r="E43" s="6">
        <f>MIN(E38:E40)</f>
        <v>52.783999999999999</v>
      </c>
      <c r="F43" s="6">
        <f t="shared" ref="F43:G43" si="23">MIN(F38:F40)</f>
        <v>0</v>
      </c>
      <c r="G43" s="6">
        <f t="shared" si="23"/>
        <v>0</v>
      </c>
    </row>
    <row r="44" spans="1:7" x14ac:dyDescent="0.2">
      <c r="A44" s="4" t="s">
        <v>449</v>
      </c>
      <c r="B44" s="4" t="s">
        <v>430</v>
      </c>
      <c r="C44" s="4" t="s">
        <v>5</v>
      </c>
      <c r="D44" s="4" t="s">
        <v>14</v>
      </c>
      <c r="E44" s="6">
        <v>56.174999999999997</v>
      </c>
    </row>
    <row r="45" spans="1:7" x14ac:dyDescent="0.2">
      <c r="A45" s="4" t="s">
        <v>450</v>
      </c>
      <c r="B45" s="4" t="s">
        <v>430</v>
      </c>
      <c r="C45" s="4" t="s">
        <v>5</v>
      </c>
      <c r="D45" s="4" t="s">
        <v>14</v>
      </c>
      <c r="E45" s="6">
        <v>57.878</v>
      </c>
    </row>
    <row r="46" spans="1:7" x14ac:dyDescent="0.2">
      <c r="A46" s="4" t="s">
        <v>451</v>
      </c>
      <c r="B46" s="4" t="s">
        <v>430</v>
      </c>
      <c r="C46" s="4" t="s">
        <v>5</v>
      </c>
      <c r="D46" s="4" t="s">
        <v>14</v>
      </c>
      <c r="E46" s="6">
        <v>63.06</v>
      </c>
    </row>
    <row r="47" spans="1:7" x14ac:dyDescent="0.2">
      <c r="A47" s="4" t="s">
        <v>452</v>
      </c>
      <c r="B47" s="4" t="s">
        <v>430</v>
      </c>
      <c r="C47" s="4" t="s">
        <v>5</v>
      </c>
      <c r="D47" s="4" t="s">
        <v>14</v>
      </c>
      <c r="E47" s="6">
        <f>SUM(E44:E46)/3</f>
        <v>59.037666666666667</v>
      </c>
      <c r="F47" s="6">
        <f t="shared" ref="F47" si="24">SUM(F44:F46)/3</f>
        <v>0</v>
      </c>
      <c r="G47" s="6">
        <f t="shared" ref="G47" si="25">SUM(G44:G46)/3</f>
        <v>0</v>
      </c>
    </row>
    <row r="48" spans="1:7" x14ac:dyDescent="0.2">
      <c r="A48" s="4" t="s">
        <v>453</v>
      </c>
      <c r="B48" s="4" t="s">
        <v>430</v>
      </c>
      <c r="C48" s="4" t="s">
        <v>5</v>
      </c>
      <c r="D48" s="4" t="s">
        <v>14</v>
      </c>
      <c r="E48" s="6">
        <f>MAX(E44:E46)</f>
        <v>63.06</v>
      </c>
      <c r="F48" s="6">
        <f t="shared" ref="F48:G48" si="26">MAX(F44:F46)</f>
        <v>0</v>
      </c>
      <c r="G48" s="6">
        <f t="shared" si="26"/>
        <v>0</v>
      </c>
    </row>
    <row r="49" spans="1:7" x14ac:dyDescent="0.2">
      <c r="A49" s="4" t="s">
        <v>454</v>
      </c>
      <c r="B49" s="4" t="s">
        <v>430</v>
      </c>
      <c r="C49" s="4" t="s">
        <v>5</v>
      </c>
      <c r="D49" s="4" t="s">
        <v>14</v>
      </c>
      <c r="E49" s="6">
        <f>MIN(E44:E46)</f>
        <v>56.174999999999997</v>
      </c>
      <c r="F49" s="6">
        <f t="shared" ref="F49:G49" si="27">MIN(F44:F46)</f>
        <v>0</v>
      </c>
      <c r="G49" s="6">
        <f t="shared" si="27"/>
        <v>0</v>
      </c>
    </row>
    <row r="50" spans="1:7" x14ac:dyDescent="0.2">
      <c r="A50" s="4" t="s">
        <v>456</v>
      </c>
      <c r="B50" s="4" t="s">
        <v>455</v>
      </c>
      <c r="C50" s="4" t="s">
        <v>5</v>
      </c>
      <c r="D50" s="4" t="s">
        <v>6</v>
      </c>
      <c r="E50" s="6">
        <v>35.378999999999998</v>
      </c>
    </row>
    <row r="51" spans="1:7" x14ac:dyDescent="0.2">
      <c r="A51" s="4" t="s">
        <v>457</v>
      </c>
      <c r="B51" s="4" t="s">
        <v>455</v>
      </c>
      <c r="C51" s="4" t="s">
        <v>5</v>
      </c>
      <c r="D51" s="4" t="s">
        <v>6</v>
      </c>
      <c r="E51" s="6">
        <v>33.438000000000002</v>
      </c>
    </row>
    <row r="52" spans="1:7" x14ac:dyDescent="0.2">
      <c r="A52" s="4" t="s">
        <v>458</v>
      </c>
      <c r="B52" s="4" t="s">
        <v>455</v>
      </c>
      <c r="C52" s="4" t="s">
        <v>5</v>
      </c>
      <c r="D52" s="4" t="s">
        <v>6</v>
      </c>
      <c r="E52" s="6">
        <v>29.655000000000001</v>
      </c>
    </row>
    <row r="53" spans="1:7" x14ac:dyDescent="0.2">
      <c r="A53" s="4" t="s">
        <v>459</v>
      </c>
      <c r="B53" s="4" t="s">
        <v>455</v>
      </c>
      <c r="C53" s="4" t="s">
        <v>5</v>
      </c>
      <c r="D53" s="4" t="s">
        <v>6</v>
      </c>
      <c r="E53" s="6">
        <f>SUM(E50:E52)/3</f>
        <v>32.824000000000005</v>
      </c>
      <c r="F53" s="6">
        <f t="shared" ref="F53" si="28">SUM(F50:F52)/3</f>
        <v>0</v>
      </c>
      <c r="G53" s="6">
        <f t="shared" ref="G53" si="29">SUM(G50:G52)/3</f>
        <v>0</v>
      </c>
    </row>
    <row r="54" spans="1:7" x14ac:dyDescent="0.2">
      <c r="A54" s="4" t="s">
        <v>460</v>
      </c>
      <c r="B54" s="4" t="s">
        <v>455</v>
      </c>
      <c r="C54" s="4" t="s">
        <v>5</v>
      </c>
      <c r="D54" s="4" t="s">
        <v>6</v>
      </c>
      <c r="E54" s="6">
        <f>MAX(E50:E52)</f>
        <v>35.378999999999998</v>
      </c>
      <c r="F54" s="6">
        <f t="shared" ref="F54:G54" si="30">MAX(F50:F52)</f>
        <v>0</v>
      </c>
      <c r="G54" s="6">
        <f t="shared" si="30"/>
        <v>0</v>
      </c>
    </row>
    <row r="55" spans="1:7" x14ac:dyDescent="0.2">
      <c r="A55" s="4" t="s">
        <v>461</v>
      </c>
      <c r="B55" s="4" t="s">
        <v>455</v>
      </c>
      <c r="C55" s="4" t="s">
        <v>5</v>
      </c>
      <c r="D55" s="4" t="s">
        <v>6</v>
      </c>
      <c r="E55" s="6">
        <f>MIN(E50:E52)</f>
        <v>29.655000000000001</v>
      </c>
      <c r="F55" s="6">
        <f t="shared" ref="F55:G55" si="31">MIN(F50:F52)</f>
        <v>0</v>
      </c>
      <c r="G55" s="6">
        <f t="shared" si="31"/>
        <v>0</v>
      </c>
    </row>
    <row r="56" spans="1:7" x14ac:dyDescent="0.2">
      <c r="A56" s="4" t="s">
        <v>462</v>
      </c>
      <c r="B56" s="4" t="s">
        <v>455</v>
      </c>
      <c r="C56" s="4" t="s">
        <v>5</v>
      </c>
      <c r="D56" s="4" t="s">
        <v>7</v>
      </c>
      <c r="E56" s="6">
        <v>30.553999999999998</v>
      </c>
    </row>
    <row r="57" spans="1:7" x14ac:dyDescent="0.2">
      <c r="A57" s="4" t="s">
        <v>463</v>
      </c>
      <c r="B57" s="4" t="s">
        <v>455</v>
      </c>
      <c r="C57" s="4" t="s">
        <v>5</v>
      </c>
      <c r="D57" s="4" t="s">
        <v>7</v>
      </c>
      <c r="E57" s="6">
        <v>32.688000000000002</v>
      </c>
    </row>
    <row r="58" spans="1:7" x14ac:dyDescent="0.2">
      <c r="A58" s="4" t="s">
        <v>464</v>
      </c>
      <c r="B58" s="4" t="s">
        <v>455</v>
      </c>
      <c r="C58" s="4" t="s">
        <v>5</v>
      </c>
      <c r="D58" s="4" t="s">
        <v>7</v>
      </c>
      <c r="E58" s="6">
        <v>31.026</v>
      </c>
    </row>
    <row r="59" spans="1:7" x14ac:dyDescent="0.2">
      <c r="A59" s="4" t="s">
        <v>465</v>
      </c>
      <c r="B59" s="4" t="s">
        <v>455</v>
      </c>
      <c r="C59" s="4" t="s">
        <v>5</v>
      </c>
      <c r="D59" s="4" t="s">
        <v>7</v>
      </c>
      <c r="E59" s="6">
        <f>SUM(E56:E58)/3</f>
        <v>31.422666666666668</v>
      </c>
      <c r="F59" s="6">
        <f t="shared" ref="F59" si="32">SUM(F56:F58)/3</f>
        <v>0</v>
      </c>
      <c r="G59" s="6">
        <f t="shared" ref="G59" si="33">SUM(G56:G58)/3</f>
        <v>0</v>
      </c>
    </row>
    <row r="60" spans="1:7" x14ac:dyDescent="0.2">
      <c r="A60" s="4" t="s">
        <v>466</v>
      </c>
      <c r="B60" s="4" t="s">
        <v>455</v>
      </c>
      <c r="C60" s="4" t="s">
        <v>5</v>
      </c>
      <c r="D60" s="4" t="s">
        <v>7</v>
      </c>
      <c r="E60" s="6">
        <f>MAX(E56:E58)</f>
        <v>32.688000000000002</v>
      </c>
      <c r="F60" s="6">
        <f t="shared" ref="F60:G60" si="34">MAX(F56:F58)</f>
        <v>0</v>
      </c>
      <c r="G60" s="6">
        <f t="shared" si="34"/>
        <v>0</v>
      </c>
    </row>
    <row r="61" spans="1:7" x14ac:dyDescent="0.2">
      <c r="A61" s="4" t="s">
        <v>467</v>
      </c>
      <c r="B61" s="4" t="s">
        <v>455</v>
      </c>
      <c r="C61" s="4" t="s">
        <v>5</v>
      </c>
      <c r="D61" s="4" t="s">
        <v>7</v>
      </c>
      <c r="E61" s="6">
        <f>MIN(E56:E58)</f>
        <v>30.553999999999998</v>
      </c>
      <c r="F61" s="6">
        <f t="shared" ref="F61:G61" si="35">MIN(F56:F58)</f>
        <v>0</v>
      </c>
      <c r="G61" s="6">
        <f t="shared" si="35"/>
        <v>0</v>
      </c>
    </row>
    <row r="62" spans="1:7" x14ac:dyDescent="0.2">
      <c r="A62" s="4" t="s">
        <v>468</v>
      </c>
      <c r="B62" s="4" t="s">
        <v>455</v>
      </c>
      <c r="C62" s="4" t="s">
        <v>5</v>
      </c>
      <c r="D62" s="4" t="s">
        <v>8</v>
      </c>
      <c r="E62" s="6">
        <v>41.837000000000003</v>
      </c>
    </row>
    <row r="63" spans="1:7" x14ac:dyDescent="0.2">
      <c r="A63" s="4" t="s">
        <v>469</v>
      </c>
      <c r="B63" s="4" t="s">
        <v>455</v>
      </c>
      <c r="C63" s="4" t="s">
        <v>5</v>
      </c>
      <c r="D63" s="4" t="s">
        <v>8</v>
      </c>
      <c r="E63" s="6">
        <v>38.887999999999998</v>
      </c>
    </row>
    <row r="64" spans="1:7" x14ac:dyDescent="0.2">
      <c r="A64" s="4" t="s">
        <v>470</v>
      </c>
      <c r="B64" s="4" t="s">
        <v>455</v>
      </c>
      <c r="C64" s="4" t="s">
        <v>5</v>
      </c>
      <c r="D64" s="4" t="s">
        <v>8</v>
      </c>
      <c r="E64" s="6">
        <v>42.665999999999997</v>
      </c>
    </row>
    <row r="65" spans="1:7" x14ac:dyDescent="0.2">
      <c r="A65" s="4" t="s">
        <v>471</v>
      </c>
      <c r="B65" s="4" t="s">
        <v>455</v>
      </c>
      <c r="C65" s="4" t="s">
        <v>5</v>
      </c>
      <c r="D65" s="4" t="s">
        <v>8</v>
      </c>
      <c r="E65" s="6">
        <f>SUM(E62:E64)/3</f>
        <v>41.130333333333333</v>
      </c>
      <c r="F65" s="6">
        <f t="shared" ref="F65" si="36">SUM(F62:F64)/3</f>
        <v>0</v>
      </c>
      <c r="G65" s="6">
        <f t="shared" ref="G65" si="37">SUM(G62:G64)/3</f>
        <v>0</v>
      </c>
    </row>
    <row r="66" spans="1:7" x14ac:dyDescent="0.2">
      <c r="A66" s="4" t="s">
        <v>472</v>
      </c>
      <c r="B66" s="4" t="s">
        <v>455</v>
      </c>
      <c r="C66" s="4" t="s">
        <v>5</v>
      </c>
      <c r="D66" s="4" t="s">
        <v>8</v>
      </c>
      <c r="E66" s="6">
        <f>MAX(E62:E64)</f>
        <v>42.665999999999997</v>
      </c>
      <c r="F66" s="6">
        <f t="shared" ref="F66:G66" si="38">MAX(F62:F64)</f>
        <v>0</v>
      </c>
      <c r="G66" s="6">
        <f t="shared" si="38"/>
        <v>0</v>
      </c>
    </row>
    <row r="67" spans="1:7" x14ac:dyDescent="0.2">
      <c r="A67" s="4" t="s">
        <v>473</v>
      </c>
      <c r="B67" s="4" t="s">
        <v>455</v>
      </c>
      <c r="C67" s="4" t="s">
        <v>5</v>
      </c>
      <c r="D67" s="4" t="s">
        <v>8</v>
      </c>
      <c r="E67" s="6">
        <f>MIN(E62:E64)</f>
        <v>38.887999999999998</v>
      </c>
      <c r="F67" s="6">
        <f t="shared" ref="F67:G67" si="39">MIN(F62:F64)</f>
        <v>0</v>
      </c>
      <c r="G67" s="6">
        <f t="shared" si="39"/>
        <v>0</v>
      </c>
    </row>
    <row r="68" spans="1:7" x14ac:dyDescent="0.2">
      <c r="A68" s="4" t="s">
        <v>474</v>
      </c>
      <c r="B68" s="4" t="s">
        <v>455</v>
      </c>
      <c r="C68" s="4" t="s">
        <v>5</v>
      </c>
      <c r="D68" s="4" t="s">
        <v>14</v>
      </c>
      <c r="E68" s="6">
        <v>38.673999999999999</v>
      </c>
    </row>
    <row r="69" spans="1:7" x14ac:dyDescent="0.2">
      <c r="A69" s="4" t="s">
        <v>475</v>
      </c>
      <c r="B69" s="4" t="s">
        <v>455</v>
      </c>
      <c r="C69" s="4" t="s">
        <v>5</v>
      </c>
      <c r="D69" s="4" t="s">
        <v>14</v>
      </c>
      <c r="E69" s="6">
        <v>35.381</v>
      </c>
    </row>
    <row r="70" spans="1:7" x14ac:dyDescent="0.2">
      <c r="A70" s="4" t="s">
        <v>476</v>
      </c>
      <c r="B70" s="4" t="s">
        <v>455</v>
      </c>
      <c r="C70" s="4" t="s">
        <v>5</v>
      </c>
      <c r="D70" s="4" t="s">
        <v>14</v>
      </c>
      <c r="E70" s="6">
        <v>33.869999999999997</v>
      </c>
    </row>
    <row r="71" spans="1:7" x14ac:dyDescent="0.2">
      <c r="A71" s="4" t="s">
        <v>477</v>
      </c>
      <c r="B71" s="4" t="s">
        <v>455</v>
      </c>
      <c r="C71" s="4" t="s">
        <v>5</v>
      </c>
      <c r="D71" s="4" t="s">
        <v>14</v>
      </c>
      <c r="E71" s="6">
        <f>SUM(E68:E70)/3</f>
        <v>35.975000000000001</v>
      </c>
      <c r="F71" s="6">
        <f t="shared" ref="F71" si="40">SUM(F68:F70)/3</f>
        <v>0</v>
      </c>
      <c r="G71" s="6">
        <f t="shared" ref="G71" si="41">SUM(G68:G70)/3</f>
        <v>0</v>
      </c>
    </row>
    <row r="72" spans="1:7" x14ac:dyDescent="0.2">
      <c r="A72" s="4" t="s">
        <v>478</v>
      </c>
      <c r="B72" s="4" t="s">
        <v>455</v>
      </c>
      <c r="C72" s="4" t="s">
        <v>5</v>
      </c>
      <c r="D72" s="4" t="s">
        <v>14</v>
      </c>
      <c r="E72" s="6">
        <f>MAX(E68:E70)</f>
        <v>38.673999999999999</v>
      </c>
      <c r="F72" s="6">
        <f t="shared" ref="F72:G72" si="42">MAX(F68:F70)</f>
        <v>0</v>
      </c>
      <c r="G72" s="6">
        <f t="shared" si="42"/>
        <v>0</v>
      </c>
    </row>
    <row r="73" spans="1:7" x14ac:dyDescent="0.2">
      <c r="A73" s="4" t="s">
        <v>479</v>
      </c>
      <c r="B73" s="4" t="s">
        <v>455</v>
      </c>
      <c r="C73" s="4" t="s">
        <v>5</v>
      </c>
      <c r="D73" s="4" t="s">
        <v>14</v>
      </c>
      <c r="E73" s="6">
        <f>MIN(E68:E70)</f>
        <v>33.869999999999997</v>
      </c>
      <c r="F73" s="6">
        <f t="shared" ref="F73:G73" si="43">MIN(F68:F70)</f>
        <v>0</v>
      </c>
      <c r="G73" s="6">
        <f t="shared" si="43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thinkpad</vt:lpstr>
      <vt:lpstr>mac</vt:lpstr>
      <vt:lpstr>dell</vt:lpstr>
      <vt:lpstr>ATMS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Jandl</dc:creator>
  <cp:lastModifiedBy>Susanne Jandl</cp:lastModifiedBy>
  <dcterms:created xsi:type="dcterms:W3CDTF">2025-07-01T09:29:47Z</dcterms:created>
  <dcterms:modified xsi:type="dcterms:W3CDTF">2025-07-15T17:34:46Z</dcterms:modified>
</cp:coreProperties>
</file>